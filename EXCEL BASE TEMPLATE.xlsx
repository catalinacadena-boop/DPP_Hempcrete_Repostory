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atalina\OneDrive - Pontificia Universidad Javeriana\Desktop\THESIS\Methodology\DPP_Hempcrete_Repostory\"/>
    </mc:Choice>
  </mc:AlternateContent>
  <bookViews>
    <workbookView xWindow="4680" yWindow="0" windowWidth="22080" windowHeight="9480" firstSheet="6" activeTab="8"/>
  </bookViews>
  <sheets>
    <sheet name="Parameter Categories" sheetId="1" r:id="rId1"/>
    <sheet name="Shared parameters" sheetId="2" r:id="rId2"/>
    <sheet name="Built In Parameter groups" sheetId="3" r:id="rId3"/>
    <sheet name="Data Entry" sheetId="4" r:id="rId4"/>
    <sheet name="Manual workflow" sheetId="10" r:id="rId5"/>
    <sheet name="Dynamo workflow (add params)" sheetId="5" r:id="rId6"/>
    <sheet name="Dynamo workflow (set formula)" sheetId="11" r:id="rId7"/>
    <sheet name="Pyrevit workflow" sheetId="9" r:id="rId8"/>
    <sheet name="Parameter mapping" sheetId="7" r:id="rId9"/>
    <sheet name="Final Dataset" sheetId="8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9" l="1"/>
  <c r="C2" i="8" l="1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2" i="8"/>
  <c r="D2" i="8" s="1"/>
  <c r="B2" i="8" l="1"/>
  <c r="A3" i="7" l="1"/>
  <c r="A4" i="7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48" i="7"/>
  <c r="A49" i="7"/>
  <c r="A50" i="7"/>
  <c r="A51" i="7"/>
  <c r="A52" i="7"/>
  <c r="A53" i="7"/>
  <c r="A54" i="7"/>
  <c r="A55" i="7"/>
  <c r="A56" i="7"/>
  <c r="A57" i="7"/>
  <c r="A58" i="7"/>
  <c r="A59" i="7"/>
  <c r="A60" i="7"/>
  <c r="A61" i="7"/>
  <c r="A62" i="7"/>
  <c r="A63" i="7"/>
  <c r="A64" i="7"/>
  <c r="A65" i="7"/>
  <c r="A66" i="7"/>
  <c r="A67" i="7"/>
  <c r="A68" i="7"/>
  <c r="A69" i="7"/>
  <c r="A70" i="7"/>
  <c r="A71" i="7"/>
  <c r="A72" i="7"/>
  <c r="A73" i="7"/>
  <c r="A74" i="7"/>
  <c r="A75" i="7"/>
  <c r="A76" i="7"/>
  <c r="A77" i="7"/>
  <c r="A78" i="7"/>
  <c r="A79" i="7"/>
  <c r="A80" i="7"/>
  <c r="A81" i="7"/>
  <c r="A82" i="7"/>
  <c r="A83" i="7"/>
  <c r="A84" i="7"/>
  <c r="A85" i="7"/>
  <c r="A86" i="7"/>
  <c r="A87" i="7"/>
  <c r="A88" i="7"/>
  <c r="A89" i="7"/>
  <c r="A90" i="7"/>
  <c r="A91" i="7"/>
  <c r="A92" i="7"/>
  <c r="A93" i="7"/>
  <c r="A94" i="7"/>
  <c r="A95" i="7"/>
  <c r="A96" i="7"/>
  <c r="A97" i="7"/>
  <c r="A98" i="7"/>
  <c r="A99" i="7"/>
  <c r="A100" i="7"/>
  <c r="A101" i="7"/>
  <c r="A102" i="7"/>
  <c r="A103" i="7"/>
  <c r="A104" i="7"/>
  <c r="A105" i="7"/>
  <c r="A106" i="7"/>
  <c r="A107" i="7"/>
  <c r="A108" i="7"/>
  <c r="A109" i="7"/>
  <c r="A110" i="7"/>
  <c r="A111" i="7"/>
  <c r="A112" i="7"/>
  <c r="A113" i="7"/>
  <c r="A114" i="7"/>
  <c r="A115" i="7"/>
  <c r="A116" i="7"/>
  <c r="A117" i="7"/>
  <c r="A2" i="7"/>
  <c r="A3" i="11" l="1"/>
  <c r="A4" i="11"/>
  <c r="A5" i="11"/>
  <c r="A6" i="11"/>
  <c r="A7" i="11"/>
  <c r="A8" i="11"/>
  <c r="A9" i="11"/>
  <c r="A10" i="11"/>
  <c r="A11" i="11"/>
  <c r="A12" i="11"/>
  <c r="A13" i="11"/>
  <c r="A14" i="11"/>
  <c r="A15" i="11"/>
  <c r="A16" i="11"/>
  <c r="A17" i="11"/>
  <c r="A18" i="11"/>
  <c r="A19" i="11"/>
  <c r="A20" i="11"/>
  <c r="A21" i="11"/>
  <c r="A22" i="11"/>
  <c r="A23" i="11"/>
  <c r="A24" i="11"/>
  <c r="A25" i="11"/>
  <c r="A26" i="11"/>
  <c r="A27" i="11"/>
  <c r="A28" i="11"/>
  <c r="A29" i="11"/>
  <c r="A30" i="11"/>
  <c r="A31" i="11"/>
  <c r="A32" i="11"/>
  <c r="A33" i="11"/>
  <c r="A34" i="11"/>
  <c r="A35" i="11"/>
  <c r="A36" i="11"/>
  <c r="A37" i="11"/>
  <c r="A38" i="11"/>
  <c r="A39" i="11"/>
  <c r="A40" i="11"/>
  <c r="A41" i="11"/>
  <c r="A42" i="11"/>
  <c r="A43" i="11"/>
  <c r="A44" i="11"/>
  <c r="A45" i="11"/>
  <c r="A46" i="11"/>
  <c r="A47" i="11"/>
  <c r="A48" i="11"/>
  <c r="A49" i="11"/>
  <c r="A50" i="11"/>
  <c r="A51" i="11"/>
  <c r="A52" i="11"/>
  <c r="A53" i="11"/>
  <c r="A54" i="11"/>
  <c r="A55" i="11"/>
  <c r="A56" i="11"/>
  <c r="A57" i="11"/>
  <c r="A58" i="11"/>
  <c r="A59" i="11"/>
  <c r="A60" i="11"/>
  <c r="A61" i="11"/>
  <c r="A62" i="11"/>
  <c r="A63" i="11"/>
  <c r="A64" i="11"/>
  <c r="A65" i="11"/>
  <c r="A66" i="11"/>
  <c r="A67" i="11"/>
  <c r="A68" i="11"/>
  <c r="A69" i="11"/>
  <c r="A70" i="11"/>
  <c r="A71" i="11"/>
  <c r="A72" i="11"/>
  <c r="A73" i="11"/>
  <c r="A74" i="11"/>
  <c r="A75" i="11"/>
  <c r="A76" i="11"/>
  <c r="A77" i="11"/>
  <c r="A78" i="11"/>
  <c r="A79" i="11"/>
  <c r="A80" i="11"/>
  <c r="A81" i="11"/>
  <c r="A82" i="11"/>
  <c r="A83" i="11"/>
  <c r="A84" i="11"/>
  <c r="A85" i="11"/>
  <c r="A86" i="11"/>
  <c r="A87" i="11"/>
  <c r="A88" i="11"/>
  <c r="A89" i="11"/>
  <c r="A90" i="11"/>
  <c r="A91" i="11"/>
  <c r="A92" i="11"/>
  <c r="A93" i="11"/>
  <c r="A94" i="11"/>
  <c r="A95" i="11"/>
  <c r="A96" i="11"/>
  <c r="A97" i="11"/>
  <c r="A98" i="11"/>
  <c r="A99" i="11"/>
  <c r="A100" i="11"/>
  <c r="A101" i="11"/>
  <c r="A102" i="11"/>
  <c r="A103" i="11"/>
  <c r="A104" i="11"/>
  <c r="A105" i="11"/>
  <c r="A106" i="11"/>
  <c r="A107" i="11"/>
  <c r="A108" i="11"/>
  <c r="A109" i="11"/>
  <c r="A110" i="11"/>
  <c r="A111" i="11"/>
  <c r="A112" i="11"/>
  <c r="A113" i="11"/>
  <c r="A114" i="11"/>
  <c r="A115" i="11"/>
  <c r="A116" i="11"/>
  <c r="A117" i="11"/>
  <c r="A2" i="11"/>
  <c r="B2" i="11" s="1"/>
  <c r="D2" i="9" l="1"/>
  <c r="B3" i="9"/>
  <c r="B9" i="9"/>
  <c r="B10" i="9"/>
  <c r="B17" i="9"/>
  <c r="B18" i="9"/>
  <c r="B25" i="9"/>
  <c r="B26" i="9"/>
  <c r="B33" i="9"/>
  <c r="B34" i="9"/>
  <c r="B41" i="9"/>
  <c r="B42" i="9"/>
  <c r="B49" i="9"/>
  <c r="B50" i="9"/>
  <c r="B57" i="9"/>
  <c r="B58" i="9"/>
  <c r="B65" i="9"/>
  <c r="B66" i="9"/>
  <c r="B73" i="9"/>
  <c r="B74" i="9"/>
  <c r="B81" i="9"/>
  <c r="B82" i="9"/>
  <c r="B89" i="9"/>
  <c r="B90" i="9"/>
  <c r="B97" i="9"/>
  <c r="B98" i="9"/>
  <c r="B105" i="9"/>
  <c r="B106" i="9"/>
  <c r="B113" i="9"/>
  <c r="B114" i="9"/>
  <c r="B115" i="9"/>
  <c r="B2" i="9"/>
  <c r="B3" i="5"/>
  <c r="B2" i="5"/>
  <c r="D2" i="10"/>
  <c r="A117" i="10"/>
  <c r="C117" i="10" s="1"/>
  <c r="A116" i="10"/>
  <c r="C116" i="10" s="1"/>
  <c r="A115" i="10"/>
  <c r="C115" i="10" s="1"/>
  <c r="A114" i="10"/>
  <c r="C114" i="10" s="1"/>
  <c r="A113" i="10"/>
  <c r="C113" i="10" s="1"/>
  <c r="A112" i="10"/>
  <c r="C112" i="10" s="1"/>
  <c r="A111" i="10"/>
  <c r="C111" i="10" s="1"/>
  <c r="A110" i="10"/>
  <c r="C110" i="10" s="1"/>
  <c r="A109" i="10"/>
  <c r="C109" i="10" s="1"/>
  <c r="A108" i="10"/>
  <c r="C108" i="10" s="1"/>
  <c r="A107" i="10"/>
  <c r="C107" i="10" s="1"/>
  <c r="A106" i="10"/>
  <c r="C106" i="10" s="1"/>
  <c r="A105" i="10"/>
  <c r="C105" i="10" s="1"/>
  <c r="A104" i="10"/>
  <c r="C104" i="10" s="1"/>
  <c r="A103" i="10"/>
  <c r="C103" i="10" s="1"/>
  <c r="A102" i="10"/>
  <c r="C102" i="10" s="1"/>
  <c r="A101" i="10"/>
  <c r="C101" i="10" s="1"/>
  <c r="A100" i="10"/>
  <c r="C100" i="10" s="1"/>
  <c r="A99" i="10"/>
  <c r="C99" i="10" s="1"/>
  <c r="A98" i="10"/>
  <c r="C98" i="10" s="1"/>
  <c r="A97" i="10"/>
  <c r="C97" i="10" s="1"/>
  <c r="A96" i="10"/>
  <c r="C96" i="10" s="1"/>
  <c r="A95" i="10"/>
  <c r="C95" i="10" s="1"/>
  <c r="A94" i="10"/>
  <c r="C94" i="10" s="1"/>
  <c r="A93" i="10"/>
  <c r="C93" i="10" s="1"/>
  <c r="A92" i="10"/>
  <c r="C92" i="10" s="1"/>
  <c r="A91" i="10"/>
  <c r="C91" i="10" s="1"/>
  <c r="A90" i="10"/>
  <c r="C90" i="10" s="1"/>
  <c r="A89" i="10"/>
  <c r="C89" i="10" s="1"/>
  <c r="A88" i="10"/>
  <c r="C88" i="10" s="1"/>
  <c r="A87" i="10"/>
  <c r="C87" i="10" s="1"/>
  <c r="A86" i="10"/>
  <c r="C86" i="10" s="1"/>
  <c r="A85" i="10"/>
  <c r="C85" i="10" s="1"/>
  <c r="A84" i="10"/>
  <c r="C84" i="10" s="1"/>
  <c r="A83" i="10"/>
  <c r="C83" i="10" s="1"/>
  <c r="A82" i="10"/>
  <c r="C82" i="10" s="1"/>
  <c r="A81" i="10"/>
  <c r="C81" i="10" s="1"/>
  <c r="A80" i="10"/>
  <c r="C80" i="10" s="1"/>
  <c r="A79" i="10"/>
  <c r="C79" i="10" s="1"/>
  <c r="A78" i="10"/>
  <c r="C78" i="10" s="1"/>
  <c r="A77" i="10"/>
  <c r="C77" i="10" s="1"/>
  <c r="A76" i="10"/>
  <c r="C76" i="10" s="1"/>
  <c r="A75" i="10"/>
  <c r="C75" i="10" s="1"/>
  <c r="A74" i="10"/>
  <c r="C74" i="10" s="1"/>
  <c r="A73" i="10"/>
  <c r="C73" i="10" s="1"/>
  <c r="A72" i="10"/>
  <c r="C72" i="10" s="1"/>
  <c r="A71" i="10"/>
  <c r="C71" i="10" s="1"/>
  <c r="A70" i="10"/>
  <c r="C70" i="10" s="1"/>
  <c r="A69" i="10"/>
  <c r="C69" i="10" s="1"/>
  <c r="A68" i="10"/>
  <c r="C68" i="10" s="1"/>
  <c r="A67" i="10"/>
  <c r="C67" i="10" s="1"/>
  <c r="A66" i="10"/>
  <c r="C66" i="10" s="1"/>
  <c r="A65" i="10"/>
  <c r="C65" i="10" s="1"/>
  <c r="A64" i="10"/>
  <c r="C64" i="10" s="1"/>
  <c r="A63" i="10"/>
  <c r="C63" i="10" s="1"/>
  <c r="A62" i="10"/>
  <c r="C62" i="10" s="1"/>
  <c r="A61" i="10"/>
  <c r="C61" i="10" s="1"/>
  <c r="A60" i="10"/>
  <c r="C60" i="10" s="1"/>
  <c r="A59" i="10"/>
  <c r="C59" i="10" s="1"/>
  <c r="A58" i="10"/>
  <c r="C58" i="10" s="1"/>
  <c r="A57" i="10"/>
  <c r="C57" i="10" s="1"/>
  <c r="A56" i="10"/>
  <c r="C56" i="10" s="1"/>
  <c r="A55" i="10"/>
  <c r="C55" i="10" s="1"/>
  <c r="A54" i="10"/>
  <c r="C54" i="10" s="1"/>
  <c r="A53" i="10"/>
  <c r="C53" i="10" s="1"/>
  <c r="A52" i="10"/>
  <c r="C52" i="10" s="1"/>
  <c r="A51" i="10"/>
  <c r="C51" i="10" s="1"/>
  <c r="A50" i="10"/>
  <c r="C50" i="10" s="1"/>
  <c r="A49" i="10"/>
  <c r="C49" i="10" s="1"/>
  <c r="A48" i="10"/>
  <c r="C48" i="10" s="1"/>
  <c r="A47" i="10"/>
  <c r="C47" i="10" s="1"/>
  <c r="A46" i="10"/>
  <c r="C46" i="10" s="1"/>
  <c r="A45" i="10"/>
  <c r="C45" i="10" s="1"/>
  <c r="A44" i="10"/>
  <c r="C44" i="10" s="1"/>
  <c r="A43" i="10"/>
  <c r="C43" i="10" s="1"/>
  <c r="A42" i="10"/>
  <c r="C42" i="10" s="1"/>
  <c r="A41" i="10"/>
  <c r="C41" i="10" s="1"/>
  <c r="A40" i="10"/>
  <c r="C40" i="10" s="1"/>
  <c r="A39" i="10"/>
  <c r="C39" i="10" s="1"/>
  <c r="A38" i="10"/>
  <c r="C38" i="10" s="1"/>
  <c r="A37" i="10"/>
  <c r="C37" i="10" s="1"/>
  <c r="A36" i="10"/>
  <c r="C36" i="10" s="1"/>
  <c r="A35" i="10"/>
  <c r="C35" i="10" s="1"/>
  <c r="A34" i="10"/>
  <c r="C34" i="10" s="1"/>
  <c r="A33" i="10"/>
  <c r="C33" i="10" s="1"/>
  <c r="A32" i="10"/>
  <c r="C32" i="10" s="1"/>
  <c r="A31" i="10"/>
  <c r="C31" i="10" s="1"/>
  <c r="A30" i="10"/>
  <c r="C30" i="10" s="1"/>
  <c r="A29" i="10"/>
  <c r="C29" i="10" s="1"/>
  <c r="A28" i="10"/>
  <c r="C28" i="10" s="1"/>
  <c r="A27" i="10"/>
  <c r="C27" i="10" s="1"/>
  <c r="A26" i="10"/>
  <c r="C26" i="10" s="1"/>
  <c r="A25" i="10"/>
  <c r="C25" i="10" s="1"/>
  <c r="A24" i="10"/>
  <c r="C24" i="10" s="1"/>
  <c r="A23" i="10"/>
  <c r="C23" i="10" s="1"/>
  <c r="A22" i="10"/>
  <c r="C22" i="10" s="1"/>
  <c r="A21" i="10"/>
  <c r="C21" i="10" s="1"/>
  <c r="A20" i="10"/>
  <c r="C20" i="10" s="1"/>
  <c r="A19" i="10"/>
  <c r="C19" i="10" s="1"/>
  <c r="A18" i="10"/>
  <c r="C18" i="10" s="1"/>
  <c r="A17" i="10"/>
  <c r="C17" i="10" s="1"/>
  <c r="A16" i="10"/>
  <c r="C16" i="10" s="1"/>
  <c r="A15" i="10"/>
  <c r="C15" i="10" s="1"/>
  <c r="A14" i="10"/>
  <c r="C14" i="10" s="1"/>
  <c r="A13" i="10"/>
  <c r="C13" i="10" s="1"/>
  <c r="A12" i="10"/>
  <c r="C12" i="10" s="1"/>
  <c r="A11" i="10"/>
  <c r="C11" i="10" s="1"/>
  <c r="A10" i="10"/>
  <c r="C10" i="10" s="1"/>
  <c r="A9" i="10"/>
  <c r="C9" i="10" s="1"/>
  <c r="A8" i="10"/>
  <c r="C8" i="10" s="1"/>
  <c r="A7" i="10"/>
  <c r="C7" i="10" s="1"/>
  <c r="A6" i="10"/>
  <c r="C6" i="10" s="1"/>
  <c r="A5" i="10"/>
  <c r="C5" i="10" s="1"/>
  <c r="A4" i="10"/>
  <c r="C4" i="10" s="1"/>
  <c r="A3" i="10"/>
  <c r="C3" i="10" s="1"/>
  <c r="A2" i="10"/>
  <c r="C2" i="10" s="1"/>
  <c r="A117" i="9"/>
  <c r="C117" i="9" s="1"/>
  <c r="A116" i="9"/>
  <c r="C116" i="9" s="1"/>
  <c r="A115" i="9"/>
  <c r="C115" i="9" s="1"/>
  <c r="A114" i="9"/>
  <c r="C114" i="9" s="1"/>
  <c r="A113" i="9"/>
  <c r="C113" i="9" s="1"/>
  <c r="A112" i="9"/>
  <c r="C112" i="9" s="1"/>
  <c r="A111" i="9"/>
  <c r="C111" i="9" s="1"/>
  <c r="A110" i="9"/>
  <c r="C110" i="9" s="1"/>
  <c r="A109" i="9"/>
  <c r="C109" i="9" s="1"/>
  <c r="A108" i="9"/>
  <c r="C108" i="9" s="1"/>
  <c r="A107" i="9"/>
  <c r="C107" i="9" s="1"/>
  <c r="A106" i="9"/>
  <c r="C106" i="9" s="1"/>
  <c r="A105" i="9"/>
  <c r="C105" i="9" s="1"/>
  <c r="A104" i="9"/>
  <c r="C104" i="9" s="1"/>
  <c r="A103" i="9"/>
  <c r="C103" i="9" s="1"/>
  <c r="A102" i="9"/>
  <c r="C102" i="9" s="1"/>
  <c r="A101" i="9"/>
  <c r="C101" i="9" s="1"/>
  <c r="A100" i="9"/>
  <c r="C100" i="9" s="1"/>
  <c r="A99" i="9"/>
  <c r="C99" i="9" s="1"/>
  <c r="A98" i="9"/>
  <c r="C98" i="9" s="1"/>
  <c r="A97" i="9"/>
  <c r="C97" i="9" s="1"/>
  <c r="A96" i="9"/>
  <c r="C96" i="9" s="1"/>
  <c r="A95" i="9"/>
  <c r="C95" i="9" s="1"/>
  <c r="A94" i="9"/>
  <c r="C94" i="9" s="1"/>
  <c r="A93" i="9"/>
  <c r="C93" i="9" s="1"/>
  <c r="A92" i="9"/>
  <c r="C92" i="9" s="1"/>
  <c r="A91" i="9"/>
  <c r="C91" i="9" s="1"/>
  <c r="A90" i="9"/>
  <c r="C90" i="9" s="1"/>
  <c r="A89" i="9"/>
  <c r="C89" i="9" s="1"/>
  <c r="A88" i="9"/>
  <c r="C88" i="9" s="1"/>
  <c r="A87" i="9"/>
  <c r="C87" i="9" s="1"/>
  <c r="A86" i="9"/>
  <c r="C86" i="9" s="1"/>
  <c r="A85" i="9"/>
  <c r="C85" i="9" s="1"/>
  <c r="A84" i="9"/>
  <c r="C84" i="9" s="1"/>
  <c r="A83" i="9"/>
  <c r="C83" i="9" s="1"/>
  <c r="A82" i="9"/>
  <c r="C82" i="9" s="1"/>
  <c r="A81" i="9"/>
  <c r="C81" i="9" s="1"/>
  <c r="A80" i="9"/>
  <c r="C80" i="9" s="1"/>
  <c r="A79" i="9"/>
  <c r="C79" i="9" s="1"/>
  <c r="A78" i="9"/>
  <c r="C78" i="9" s="1"/>
  <c r="A77" i="9"/>
  <c r="C77" i="9" s="1"/>
  <c r="A76" i="9"/>
  <c r="C76" i="9" s="1"/>
  <c r="A75" i="9"/>
  <c r="C75" i="9" s="1"/>
  <c r="A74" i="9"/>
  <c r="C74" i="9" s="1"/>
  <c r="A73" i="9"/>
  <c r="C73" i="9" s="1"/>
  <c r="A72" i="9"/>
  <c r="C72" i="9" s="1"/>
  <c r="A71" i="9"/>
  <c r="C71" i="9" s="1"/>
  <c r="A70" i="9"/>
  <c r="C70" i="9" s="1"/>
  <c r="A69" i="9"/>
  <c r="C69" i="9" s="1"/>
  <c r="A68" i="9"/>
  <c r="C68" i="9" s="1"/>
  <c r="A67" i="9"/>
  <c r="C67" i="9" s="1"/>
  <c r="A66" i="9"/>
  <c r="C66" i="9" s="1"/>
  <c r="A65" i="9"/>
  <c r="C65" i="9" s="1"/>
  <c r="A64" i="9"/>
  <c r="C64" i="9" s="1"/>
  <c r="A63" i="9"/>
  <c r="C63" i="9" s="1"/>
  <c r="A62" i="9"/>
  <c r="C62" i="9" s="1"/>
  <c r="A61" i="9"/>
  <c r="C61" i="9" s="1"/>
  <c r="A60" i="9"/>
  <c r="C60" i="9" s="1"/>
  <c r="A59" i="9"/>
  <c r="C59" i="9" s="1"/>
  <c r="A58" i="9"/>
  <c r="C58" i="9" s="1"/>
  <c r="A57" i="9"/>
  <c r="C57" i="9" s="1"/>
  <c r="A56" i="9"/>
  <c r="C56" i="9" s="1"/>
  <c r="A55" i="9"/>
  <c r="C55" i="9" s="1"/>
  <c r="A54" i="9"/>
  <c r="C54" i="9" s="1"/>
  <c r="A53" i="9"/>
  <c r="C53" i="9" s="1"/>
  <c r="A52" i="9"/>
  <c r="C52" i="9" s="1"/>
  <c r="A51" i="9"/>
  <c r="C51" i="9" s="1"/>
  <c r="A50" i="9"/>
  <c r="C50" i="9" s="1"/>
  <c r="A49" i="9"/>
  <c r="C49" i="9" s="1"/>
  <c r="A48" i="9"/>
  <c r="C48" i="9" s="1"/>
  <c r="A47" i="9"/>
  <c r="C47" i="9" s="1"/>
  <c r="A46" i="9"/>
  <c r="C46" i="9" s="1"/>
  <c r="A45" i="9"/>
  <c r="C45" i="9" s="1"/>
  <c r="A44" i="9"/>
  <c r="C44" i="9" s="1"/>
  <c r="A43" i="9"/>
  <c r="C43" i="9" s="1"/>
  <c r="A42" i="9"/>
  <c r="C42" i="9" s="1"/>
  <c r="A41" i="9"/>
  <c r="C41" i="9" s="1"/>
  <c r="A40" i="9"/>
  <c r="C40" i="9" s="1"/>
  <c r="A39" i="9"/>
  <c r="C39" i="9" s="1"/>
  <c r="A38" i="9"/>
  <c r="C38" i="9" s="1"/>
  <c r="A37" i="9"/>
  <c r="C37" i="9" s="1"/>
  <c r="A36" i="9"/>
  <c r="C36" i="9" s="1"/>
  <c r="A35" i="9"/>
  <c r="C35" i="9" s="1"/>
  <c r="A34" i="9"/>
  <c r="C34" i="9" s="1"/>
  <c r="A33" i="9"/>
  <c r="C33" i="9" s="1"/>
  <c r="A32" i="9"/>
  <c r="C32" i="9" s="1"/>
  <c r="A31" i="9"/>
  <c r="C31" i="9" s="1"/>
  <c r="A30" i="9"/>
  <c r="C30" i="9" s="1"/>
  <c r="A29" i="9"/>
  <c r="C29" i="9" s="1"/>
  <c r="A28" i="9"/>
  <c r="C28" i="9" s="1"/>
  <c r="A27" i="9"/>
  <c r="C27" i="9" s="1"/>
  <c r="A26" i="9"/>
  <c r="C26" i="9" s="1"/>
  <c r="A25" i="9"/>
  <c r="C25" i="9" s="1"/>
  <c r="A24" i="9"/>
  <c r="C24" i="9" s="1"/>
  <c r="A23" i="9"/>
  <c r="C23" i="9" s="1"/>
  <c r="A22" i="9"/>
  <c r="C22" i="9" s="1"/>
  <c r="A21" i="9"/>
  <c r="C21" i="9" s="1"/>
  <c r="A20" i="9"/>
  <c r="C20" i="9" s="1"/>
  <c r="A19" i="9"/>
  <c r="C19" i="9" s="1"/>
  <c r="A18" i="9"/>
  <c r="C18" i="9" s="1"/>
  <c r="A17" i="9"/>
  <c r="C17" i="9" s="1"/>
  <c r="A16" i="9"/>
  <c r="C16" i="9" s="1"/>
  <c r="A15" i="9"/>
  <c r="C15" i="9" s="1"/>
  <c r="A14" i="9"/>
  <c r="C14" i="9" s="1"/>
  <c r="A13" i="9"/>
  <c r="C13" i="9" s="1"/>
  <c r="A12" i="9"/>
  <c r="C12" i="9" s="1"/>
  <c r="A11" i="9"/>
  <c r="C11" i="9" s="1"/>
  <c r="A10" i="9"/>
  <c r="C10" i="9" s="1"/>
  <c r="A9" i="9"/>
  <c r="C9" i="9" s="1"/>
  <c r="A8" i="9"/>
  <c r="C8" i="9" s="1"/>
  <c r="A7" i="9"/>
  <c r="C7" i="9" s="1"/>
  <c r="A6" i="9"/>
  <c r="C6" i="9" s="1"/>
  <c r="A5" i="9"/>
  <c r="C5" i="9" s="1"/>
  <c r="A4" i="9"/>
  <c r="C4" i="9" s="1"/>
  <c r="A3" i="9"/>
  <c r="C3" i="9" s="1"/>
  <c r="A2" i="9"/>
  <c r="B112" i="9" l="1"/>
  <c r="B104" i="9"/>
  <c r="B96" i="9"/>
  <c r="B88" i="9"/>
  <c r="B80" i="9"/>
  <c r="B72" i="9"/>
  <c r="B64" i="9"/>
  <c r="B56" i="9"/>
  <c r="B48" i="9"/>
  <c r="B40" i="9"/>
  <c r="B32" i="9"/>
  <c r="B24" i="9"/>
  <c r="B16" i="9"/>
  <c r="B8" i="9"/>
  <c r="B111" i="9"/>
  <c r="B103" i="9"/>
  <c r="B95" i="9"/>
  <c r="B87" i="9"/>
  <c r="B79" i="9"/>
  <c r="B71" i="9"/>
  <c r="B63" i="9"/>
  <c r="B55" i="9"/>
  <c r="B47" i="9"/>
  <c r="B39" i="9"/>
  <c r="B31" i="9"/>
  <c r="B23" i="9"/>
  <c r="B15" i="9"/>
  <c r="B7" i="9"/>
  <c r="B110" i="9"/>
  <c r="B102" i="9"/>
  <c r="B94" i="9"/>
  <c r="B86" i="9"/>
  <c r="B78" i="9"/>
  <c r="B70" i="9"/>
  <c r="B62" i="9"/>
  <c r="B54" i="9"/>
  <c r="B46" i="9"/>
  <c r="B38" i="9"/>
  <c r="B30" i="9"/>
  <c r="B22" i="9"/>
  <c r="B14" i="9"/>
  <c r="B6" i="9"/>
  <c r="B117" i="9"/>
  <c r="B109" i="9"/>
  <c r="B101" i="9"/>
  <c r="B93" i="9"/>
  <c r="B85" i="9"/>
  <c r="B77" i="9"/>
  <c r="B69" i="9"/>
  <c r="B61" i="9"/>
  <c r="B53" i="9"/>
  <c r="B45" i="9"/>
  <c r="B37" i="9"/>
  <c r="B29" i="9"/>
  <c r="B21" i="9"/>
  <c r="B13" i="9"/>
  <c r="B5" i="9"/>
  <c r="B116" i="9"/>
  <c r="B108" i="9"/>
  <c r="B100" i="9"/>
  <c r="B92" i="9"/>
  <c r="B84" i="9"/>
  <c r="B76" i="9"/>
  <c r="B68" i="9"/>
  <c r="B60" i="9"/>
  <c r="B52" i="9"/>
  <c r="B44" i="9"/>
  <c r="B36" i="9"/>
  <c r="B28" i="9"/>
  <c r="B20" i="9"/>
  <c r="B12" i="9"/>
  <c r="B4" i="9"/>
  <c r="B107" i="9"/>
  <c r="B99" i="9"/>
  <c r="B91" i="9"/>
  <c r="B83" i="9"/>
  <c r="B75" i="9"/>
  <c r="B67" i="9"/>
  <c r="B59" i="9"/>
  <c r="B51" i="9"/>
  <c r="B43" i="9"/>
  <c r="B35" i="9"/>
  <c r="B27" i="9"/>
  <c r="B19" i="9"/>
  <c r="B11" i="9"/>
  <c r="A114" i="5" l="1"/>
  <c r="B114" i="5" s="1"/>
  <c r="A115" i="5"/>
  <c r="B115" i="5" s="1"/>
  <c r="A116" i="5"/>
  <c r="B116" i="5" s="1"/>
  <c r="A117" i="5"/>
  <c r="B117" i="5" s="1"/>
  <c r="A3" i="5"/>
  <c r="C3" i="5" s="1"/>
  <c r="A4" i="5"/>
  <c r="B4" i="5" s="1"/>
  <c r="A5" i="5"/>
  <c r="B5" i="5" s="1"/>
  <c r="A6" i="5"/>
  <c r="B6" i="5" s="1"/>
  <c r="A7" i="5"/>
  <c r="B7" i="5" s="1"/>
  <c r="A8" i="5"/>
  <c r="B8" i="5" s="1"/>
  <c r="A9" i="5"/>
  <c r="B9" i="5" s="1"/>
  <c r="A10" i="5"/>
  <c r="B10" i="5" s="1"/>
  <c r="A11" i="5"/>
  <c r="B11" i="5" s="1"/>
  <c r="A12" i="5"/>
  <c r="B12" i="5" s="1"/>
  <c r="A13" i="5"/>
  <c r="B13" i="5" s="1"/>
  <c r="A14" i="5"/>
  <c r="B14" i="5" s="1"/>
  <c r="A15" i="5"/>
  <c r="B15" i="5" s="1"/>
  <c r="A16" i="5"/>
  <c r="B16" i="5" s="1"/>
  <c r="A17" i="5"/>
  <c r="B17" i="5" s="1"/>
  <c r="A18" i="5"/>
  <c r="B18" i="5" s="1"/>
  <c r="A19" i="5"/>
  <c r="B19" i="5" s="1"/>
  <c r="A20" i="5"/>
  <c r="B20" i="5" s="1"/>
  <c r="A21" i="5"/>
  <c r="B21" i="5" s="1"/>
  <c r="A22" i="5"/>
  <c r="B22" i="5" s="1"/>
  <c r="A23" i="5"/>
  <c r="B23" i="5" s="1"/>
  <c r="A24" i="5"/>
  <c r="B24" i="5" s="1"/>
  <c r="A25" i="5"/>
  <c r="B25" i="5" s="1"/>
  <c r="A26" i="5"/>
  <c r="B26" i="5" s="1"/>
  <c r="A27" i="5"/>
  <c r="B27" i="5" s="1"/>
  <c r="A28" i="5"/>
  <c r="B28" i="5" s="1"/>
  <c r="A29" i="5"/>
  <c r="B29" i="5" s="1"/>
  <c r="A30" i="5"/>
  <c r="B30" i="5" s="1"/>
  <c r="A31" i="5"/>
  <c r="B31" i="5" s="1"/>
  <c r="A32" i="5"/>
  <c r="B32" i="5" s="1"/>
  <c r="A33" i="5"/>
  <c r="B33" i="5" s="1"/>
  <c r="A34" i="5"/>
  <c r="B34" i="5" s="1"/>
  <c r="A35" i="5"/>
  <c r="B35" i="5" s="1"/>
  <c r="A36" i="5"/>
  <c r="B36" i="5" s="1"/>
  <c r="A37" i="5"/>
  <c r="B37" i="5" s="1"/>
  <c r="A38" i="5"/>
  <c r="B38" i="5" s="1"/>
  <c r="A39" i="5"/>
  <c r="B39" i="5" s="1"/>
  <c r="A40" i="5"/>
  <c r="B40" i="5" s="1"/>
  <c r="A41" i="5"/>
  <c r="B41" i="5" s="1"/>
  <c r="A42" i="5"/>
  <c r="B42" i="5" s="1"/>
  <c r="A43" i="5"/>
  <c r="B43" i="5" s="1"/>
  <c r="A44" i="5"/>
  <c r="B44" i="5" s="1"/>
  <c r="A45" i="5"/>
  <c r="B45" i="5" s="1"/>
  <c r="A46" i="5"/>
  <c r="B46" i="5" s="1"/>
  <c r="A47" i="5"/>
  <c r="B47" i="5" s="1"/>
  <c r="A48" i="5"/>
  <c r="B48" i="5" s="1"/>
  <c r="A49" i="5"/>
  <c r="B49" i="5" s="1"/>
  <c r="A50" i="5"/>
  <c r="B50" i="5" s="1"/>
  <c r="A51" i="5"/>
  <c r="B51" i="5" s="1"/>
  <c r="A52" i="5"/>
  <c r="B52" i="5" s="1"/>
  <c r="A53" i="5"/>
  <c r="B53" i="5" s="1"/>
  <c r="A54" i="5"/>
  <c r="B54" i="5" s="1"/>
  <c r="A55" i="5"/>
  <c r="B55" i="5" s="1"/>
  <c r="A56" i="5"/>
  <c r="B56" i="5" s="1"/>
  <c r="A57" i="5"/>
  <c r="B57" i="5" s="1"/>
  <c r="A58" i="5"/>
  <c r="B58" i="5" s="1"/>
  <c r="A59" i="5"/>
  <c r="B59" i="5" s="1"/>
  <c r="A60" i="5"/>
  <c r="B60" i="5" s="1"/>
  <c r="A61" i="5"/>
  <c r="B61" i="5" s="1"/>
  <c r="A62" i="5"/>
  <c r="B62" i="5" s="1"/>
  <c r="A63" i="5"/>
  <c r="B63" i="5" s="1"/>
  <c r="A64" i="5"/>
  <c r="B64" i="5" s="1"/>
  <c r="A65" i="5"/>
  <c r="B65" i="5" s="1"/>
  <c r="A66" i="5"/>
  <c r="B66" i="5" s="1"/>
  <c r="A67" i="5"/>
  <c r="B67" i="5" s="1"/>
  <c r="A68" i="5"/>
  <c r="B68" i="5" s="1"/>
  <c r="A69" i="5"/>
  <c r="B69" i="5" s="1"/>
  <c r="A70" i="5"/>
  <c r="B70" i="5" s="1"/>
  <c r="A71" i="5"/>
  <c r="B71" i="5" s="1"/>
  <c r="A72" i="5"/>
  <c r="B72" i="5" s="1"/>
  <c r="A73" i="5"/>
  <c r="B73" i="5" s="1"/>
  <c r="A74" i="5"/>
  <c r="B74" i="5" s="1"/>
  <c r="A75" i="5"/>
  <c r="B75" i="5" s="1"/>
  <c r="A76" i="5"/>
  <c r="B76" i="5" s="1"/>
  <c r="A77" i="5"/>
  <c r="B77" i="5" s="1"/>
  <c r="A78" i="5"/>
  <c r="B78" i="5" s="1"/>
  <c r="A79" i="5"/>
  <c r="B79" i="5" s="1"/>
  <c r="A80" i="5"/>
  <c r="B80" i="5" s="1"/>
  <c r="A81" i="5"/>
  <c r="B81" i="5" s="1"/>
  <c r="A82" i="5"/>
  <c r="B82" i="5" s="1"/>
  <c r="A83" i="5"/>
  <c r="B83" i="5" s="1"/>
  <c r="A84" i="5"/>
  <c r="B84" i="5" s="1"/>
  <c r="A85" i="5"/>
  <c r="B85" i="5" s="1"/>
  <c r="A86" i="5"/>
  <c r="B86" i="5" s="1"/>
  <c r="A87" i="5"/>
  <c r="B87" i="5" s="1"/>
  <c r="A88" i="5"/>
  <c r="B88" i="5" s="1"/>
  <c r="A89" i="5"/>
  <c r="B89" i="5" s="1"/>
  <c r="A90" i="5"/>
  <c r="B90" i="5" s="1"/>
  <c r="A91" i="5"/>
  <c r="B91" i="5" s="1"/>
  <c r="A92" i="5"/>
  <c r="B92" i="5" s="1"/>
  <c r="A93" i="5"/>
  <c r="B93" i="5" s="1"/>
  <c r="A94" i="5"/>
  <c r="B94" i="5" s="1"/>
  <c r="A95" i="5"/>
  <c r="B95" i="5" s="1"/>
  <c r="A96" i="5"/>
  <c r="B96" i="5" s="1"/>
  <c r="A97" i="5"/>
  <c r="B97" i="5" s="1"/>
  <c r="A98" i="5"/>
  <c r="B98" i="5" s="1"/>
  <c r="A99" i="5"/>
  <c r="B99" i="5" s="1"/>
  <c r="A100" i="5"/>
  <c r="B100" i="5" s="1"/>
  <c r="A101" i="5"/>
  <c r="B101" i="5" s="1"/>
  <c r="A102" i="5"/>
  <c r="B102" i="5" s="1"/>
  <c r="A103" i="5"/>
  <c r="B103" i="5" s="1"/>
  <c r="A104" i="5"/>
  <c r="B104" i="5" s="1"/>
  <c r="A105" i="5"/>
  <c r="B105" i="5" s="1"/>
  <c r="A106" i="5"/>
  <c r="B106" i="5" s="1"/>
  <c r="A107" i="5"/>
  <c r="B107" i="5" s="1"/>
  <c r="A108" i="5"/>
  <c r="B108" i="5" s="1"/>
  <c r="A109" i="5"/>
  <c r="B109" i="5" s="1"/>
  <c r="A110" i="5"/>
  <c r="B110" i="5" s="1"/>
  <c r="A111" i="5"/>
  <c r="B111" i="5" s="1"/>
  <c r="A112" i="5"/>
  <c r="B112" i="5" s="1"/>
  <c r="A113" i="5"/>
  <c r="B113" i="5" s="1"/>
  <c r="A2" i="5"/>
  <c r="C2" i="5" s="1"/>
  <c r="C102" i="5" l="1"/>
  <c r="C54" i="5"/>
  <c r="C14" i="5"/>
  <c r="C6" i="5"/>
  <c r="C109" i="5"/>
  <c r="C101" i="5"/>
  <c r="C93" i="5"/>
  <c r="C85" i="5"/>
  <c r="C77" i="5"/>
  <c r="C69" i="5"/>
  <c r="C61" i="5"/>
  <c r="C53" i="5"/>
  <c r="C45" i="5"/>
  <c r="C37" i="5"/>
  <c r="C29" i="5"/>
  <c r="C21" i="5"/>
  <c r="C13" i="5"/>
  <c r="C5" i="5"/>
  <c r="C38" i="5"/>
  <c r="C52" i="5"/>
  <c r="C44" i="5"/>
  <c r="C36" i="5"/>
  <c r="C28" i="5"/>
  <c r="C20" i="5"/>
  <c r="C12" i="5"/>
  <c r="C4" i="5"/>
  <c r="C86" i="5"/>
  <c r="C30" i="5"/>
  <c r="C92" i="5"/>
  <c r="C60" i="5"/>
  <c r="C107" i="5"/>
  <c r="C99" i="5"/>
  <c r="C91" i="5"/>
  <c r="C83" i="5"/>
  <c r="C75" i="5"/>
  <c r="C67" i="5"/>
  <c r="C59" i="5"/>
  <c r="C51" i="5"/>
  <c r="C43" i="5"/>
  <c r="C35" i="5"/>
  <c r="C27" i="5"/>
  <c r="C19" i="5"/>
  <c r="C11" i="5"/>
  <c r="C110" i="5"/>
  <c r="C62" i="5"/>
  <c r="C84" i="5"/>
  <c r="C68" i="5"/>
  <c r="C106" i="5"/>
  <c r="C98" i="5"/>
  <c r="C90" i="5"/>
  <c r="C82" i="5"/>
  <c r="C74" i="5"/>
  <c r="C66" i="5"/>
  <c r="C58" i="5"/>
  <c r="C50" i="5"/>
  <c r="C42" i="5"/>
  <c r="C34" i="5"/>
  <c r="C26" i="5"/>
  <c r="C18" i="5"/>
  <c r="C10" i="5"/>
  <c r="C117" i="5"/>
  <c r="C94" i="5"/>
  <c r="C46" i="5"/>
  <c r="C100" i="5"/>
  <c r="C76" i="5"/>
  <c r="C105" i="5"/>
  <c r="C97" i="5"/>
  <c r="C89" i="5"/>
  <c r="C81" i="5"/>
  <c r="C73" i="5"/>
  <c r="C65" i="5"/>
  <c r="C57" i="5"/>
  <c r="C49" i="5"/>
  <c r="C41" i="5"/>
  <c r="C33" i="5"/>
  <c r="C25" i="5"/>
  <c r="C17" i="5"/>
  <c r="C9" i="5"/>
  <c r="C116" i="5"/>
  <c r="C78" i="5"/>
  <c r="C22" i="5"/>
  <c r="C113" i="5"/>
  <c r="C112" i="5"/>
  <c r="C104" i="5"/>
  <c r="C96" i="5"/>
  <c r="C88" i="5"/>
  <c r="C80" i="5"/>
  <c r="C72" i="5"/>
  <c r="C64" i="5"/>
  <c r="C56" i="5"/>
  <c r="C48" i="5"/>
  <c r="C40" i="5"/>
  <c r="C32" i="5"/>
  <c r="C24" i="5"/>
  <c r="C16" i="5"/>
  <c r="C8" i="5"/>
  <c r="C115" i="5"/>
  <c r="C70" i="5"/>
  <c r="C108" i="5"/>
  <c r="C111" i="5"/>
  <c r="C103" i="5"/>
  <c r="C95" i="5"/>
  <c r="C87" i="5"/>
  <c r="C79" i="5"/>
  <c r="C71" i="5"/>
  <c r="C63" i="5"/>
  <c r="C55" i="5"/>
  <c r="C47" i="5"/>
  <c r="C39" i="5"/>
  <c r="C31" i="5"/>
  <c r="C23" i="5"/>
  <c r="C15" i="5"/>
  <c r="C7" i="5"/>
  <c r="C114" i="5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2" i="4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B4" i="8" l="1"/>
  <c r="D3" i="8"/>
  <c r="C4" i="8"/>
  <c r="C3" i="8"/>
  <c r="D4" i="8"/>
  <c r="B3" i="8"/>
  <c r="B4" i="11"/>
  <c r="B3" i="11"/>
  <c r="D3" i="9"/>
  <c r="D4" i="9"/>
  <c r="D4" i="10"/>
  <c r="D3" i="10"/>
  <c r="B113" i="8"/>
  <c r="B88" i="8"/>
  <c r="B24" i="8"/>
  <c r="B9" i="8"/>
  <c r="C55" i="8"/>
  <c r="B110" i="8"/>
  <c r="B69" i="8"/>
  <c r="B5" i="8"/>
  <c r="B100" i="8"/>
  <c r="B36" i="8"/>
  <c r="B22" i="8"/>
  <c r="B75" i="8"/>
  <c r="B11" i="8"/>
  <c r="B74" i="8"/>
  <c r="B10" i="8"/>
  <c r="D66" i="8"/>
  <c r="D34" i="8"/>
  <c r="D18" i="8"/>
  <c r="C117" i="8"/>
  <c r="C53" i="8"/>
  <c r="D105" i="8"/>
  <c r="D41" i="8"/>
  <c r="C116" i="8"/>
  <c r="C52" i="8"/>
  <c r="D104" i="8"/>
  <c r="D40" i="8"/>
  <c r="B23" i="8"/>
  <c r="C59" i="8"/>
  <c r="D111" i="8"/>
  <c r="D47" i="8"/>
  <c r="B53" i="8"/>
  <c r="C66" i="8"/>
  <c r="D110" i="8"/>
  <c r="C65" i="8"/>
  <c r="C112" i="8"/>
  <c r="D100" i="8"/>
  <c r="D20" i="8"/>
  <c r="D51" i="8"/>
  <c r="C24" i="8"/>
  <c r="D107" i="8"/>
  <c r="B116" i="8"/>
  <c r="D57" i="8"/>
  <c r="C11" i="8"/>
  <c r="B117" i="8"/>
  <c r="D19" i="8"/>
  <c r="B81" i="8"/>
  <c r="B80" i="8"/>
  <c r="B16" i="8"/>
  <c r="C111" i="8"/>
  <c r="C47" i="8"/>
  <c r="B78" i="8"/>
  <c r="D61" i="8"/>
  <c r="B89" i="8"/>
  <c r="B92" i="8"/>
  <c r="B28" i="8"/>
  <c r="B14" i="8"/>
  <c r="B67" i="8"/>
  <c r="B94" i="8"/>
  <c r="B66" i="8"/>
  <c r="C70" i="8"/>
  <c r="D114" i="8"/>
  <c r="C102" i="8"/>
  <c r="C86" i="8"/>
  <c r="C109" i="8"/>
  <c r="C45" i="8"/>
  <c r="D97" i="8"/>
  <c r="D33" i="8"/>
  <c r="C108" i="8"/>
  <c r="C44" i="8"/>
  <c r="D96" i="8"/>
  <c r="D32" i="8"/>
  <c r="C115" i="8"/>
  <c r="C51" i="8"/>
  <c r="D103" i="8"/>
  <c r="D39" i="8"/>
  <c r="B21" i="8"/>
  <c r="C58" i="8"/>
  <c r="D102" i="8"/>
  <c r="D38" i="8"/>
  <c r="B15" i="8"/>
  <c r="C57" i="8"/>
  <c r="D101" i="8"/>
  <c r="C104" i="8"/>
  <c r="C40" i="8"/>
  <c r="D92" i="8"/>
  <c r="D28" i="8"/>
  <c r="C7" i="8"/>
  <c r="D59" i="8"/>
  <c r="C49" i="8"/>
  <c r="C96" i="8"/>
  <c r="C32" i="8"/>
  <c r="D84" i="8"/>
  <c r="D76" i="8"/>
  <c r="B104" i="8"/>
  <c r="D21" i="8"/>
  <c r="B52" i="8"/>
  <c r="B63" i="8"/>
  <c r="D63" i="8"/>
  <c r="C17" i="8"/>
  <c r="D52" i="8"/>
  <c r="B57" i="8"/>
  <c r="B72" i="8"/>
  <c r="B8" i="8"/>
  <c r="C103" i="8"/>
  <c r="C39" i="8"/>
  <c r="D117" i="8"/>
  <c r="D53" i="8"/>
  <c r="B102" i="8"/>
  <c r="B84" i="8"/>
  <c r="B20" i="8"/>
  <c r="B6" i="8"/>
  <c r="B59" i="8"/>
  <c r="B70" i="8"/>
  <c r="B58" i="8"/>
  <c r="C62" i="8"/>
  <c r="C54" i="8"/>
  <c r="C38" i="8"/>
  <c r="C22" i="8"/>
  <c r="C101" i="8"/>
  <c r="C37" i="8"/>
  <c r="D89" i="8"/>
  <c r="D25" i="8"/>
  <c r="C100" i="8"/>
  <c r="C36" i="8"/>
  <c r="D88" i="8"/>
  <c r="D24" i="8"/>
  <c r="C107" i="8"/>
  <c r="C43" i="8"/>
  <c r="D95" i="8"/>
  <c r="D31" i="8"/>
  <c r="C114" i="8"/>
  <c r="C50" i="8"/>
  <c r="D94" i="8"/>
  <c r="D30" i="8"/>
  <c r="C113" i="8"/>
  <c r="D77" i="8"/>
  <c r="D115" i="8"/>
  <c r="B91" i="8"/>
  <c r="C75" i="8"/>
  <c r="D13" i="8"/>
  <c r="B71" i="8"/>
  <c r="B41" i="8"/>
  <c r="B64" i="8"/>
  <c r="B73" i="8"/>
  <c r="C95" i="8"/>
  <c r="C31" i="8"/>
  <c r="B109" i="8"/>
  <c r="B45" i="8"/>
  <c r="B54" i="8"/>
  <c r="B76" i="8"/>
  <c r="B12" i="8"/>
  <c r="B115" i="8"/>
  <c r="B51" i="8"/>
  <c r="B114" i="8"/>
  <c r="B50" i="8"/>
  <c r="C6" i="8"/>
  <c r="D106" i="8"/>
  <c r="D90" i="8"/>
  <c r="D74" i="8"/>
  <c r="C93" i="8"/>
  <c r="C29" i="8"/>
  <c r="D81" i="8"/>
  <c r="D17" i="8"/>
  <c r="C92" i="8"/>
  <c r="C28" i="8"/>
  <c r="D80" i="8"/>
  <c r="D16" i="8"/>
  <c r="C99" i="8"/>
  <c r="C35" i="8"/>
  <c r="D87" i="8"/>
  <c r="D23" i="8"/>
  <c r="C106" i="8"/>
  <c r="C42" i="8"/>
  <c r="D86" i="8"/>
  <c r="D22" i="8"/>
  <c r="C105" i="8"/>
  <c r="C41" i="8"/>
  <c r="D69" i="8"/>
  <c r="C88" i="8"/>
  <c r="D35" i="8"/>
  <c r="B40" i="8"/>
  <c r="C71" i="8"/>
  <c r="B62" i="8"/>
  <c r="C78" i="8"/>
  <c r="B87" i="8"/>
  <c r="B111" i="8"/>
  <c r="D116" i="8"/>
  <c r="B25" i="8"/>
  <c r="B56" i="8"/>
  <c r="B65" i="8"/>
  <c r="C87" i="8"/>
  <c r="C23" i="8"/>
  <c r="B101" i="8"/>
  <c r="B37" i="8"/>
  <c r="B38" i="8"/>
  <c r="B68" i="8"/>
  <c r="B97" i="8"/>
  <c r="B107" i="8"/>
  <c r="B43" i="8"/>
  <c r="B106" i="8"/>
  <c r="B42" i="8"/>
  <c r="D58" i="8"/>
  <c r="D42" i="8"/>
  <c r="D26" i="8"/>
  <c r="D10" i="8"/>
  <c r="C85" i="8"/>
  <c r="C21" i="8"/>
  <c r="D73" i="8"/>
  <c r="D9" i="8"/>
  <c r="C84" i="8"/>
  <c r="C20" i="8"/>
  <c r="D72" i="8"/>
  <c r="D8" i="8"/>
  <c r="C91" i="8"/>
  <c r="C27" i="8"/>
  <c r="D79" i="8"/>
  <c r="D15" i="8"/>
  <c r="C98" i="8"/>
  <c r="C34" i="8"/>
  <c r="D78" i="8"/>
  <c r="D14" i="8"/>
  <c r="C97" i="8"/>
  <c r="C33" i="8"/>
  <c r="D45" i="8"/>
  <c r="C80" i="8"/>
  <c r="C16" i="8"/>
  <c r="D68" i="8"/>
  <c r="D99" i="8"/>
  <c r="B26" i="8"/>
  <c r="C30" i="8"/>
  <c r="C5" i="8"/>
  <c r="B61" i="8"/>
  <c r="C68" i="8"/>
  <c r="D62" i="8"/>
  <c r="C64" i="8"/>
  <c r="B112" i="8"/>
  <c r="B48" i="8"/>
  <c r="B49" i="8"/>
  <c r="C79" i="8"/>
  <c r="C15" i="8"/>
  <c r="D93" i="8"/>
  <c r="D29" i="8"/>
  <c r="B30" i="8"/>
  <c r="B60" i="8"/>
  <c r="B86" i="8"/>
  <c r="B99" i="8"/>
  <c r="B35" i="8"/>
  <c r="B98" i="8"/>
  <c r="B34" i="8"/>
  <c r="D50" i="8"/>
  <c r="C110" i="8"/>
  <c r="C94" i="8"/>
  <c r="B95" i="8"/>
  <c r="C77" i="8"/>
  <c r="C13" i="8"/>
  <c r="D65" i="8"/>
  <c r="B93" i="8"/>
  <c r="C76" i="8"/>
  <c r="C12" i="8"/>
  <c r="D64" i="8"/>
  <c r="C83" i="8"/>
  <c r="C19" i="8"/>
  <c r="D71" i="8"/>
  <c r="D7" i="8"/>
  <c r="C90" i="8"/>
  <c r="C26" i="8"/>
  <c r="D70" i="8"/>
  <c r="D6" i="8"/>
  <c r="C89" i="8"/>
  <c r="C25" i="8"/>
  <c r="D37" i="8"/>
  <c r="C72" i="8"/>
  <c r="C8" i="8"/>
  <c r="D60" i="8"/>
  <c r="B103" i="8"/>
  <c r="D91" i="8"/>
  <c r="B27" i="8"/>
  <c r="C46" i="8"/>
  <c r="C69" i="8"/>
  <c r="C82" i="8"/>
  <c r="D83" i="8"/>
  <c r="B96" i="8"/>
  <c r="B32" i="8"/>
  <c r="B17" i="8"/>
  <c r="C63" i="8"/>
  <c r="B105" i="8"/>
  <c r="B77" i="8"/>
  <c r="B13" i="8"/>
  <c r="B108" i="8"/>
  <c r="B44" i="8"/>
  <c r="B46" i="8"/>
  <c r="B83" i="8"/>
  <c r="B19" i="8"/>
  <c r="B82" i="8"/>
  <c r="B18" i="8"/>
  <c r="C14" i="8"/>
  <c r="D98" i="8"/>
  <c r="D82" i="8"/>
  <c r="B31" i="8"/>
  <c r="C61" i="8"/>
  <c r="D113" i="8"/>
  <c r="D49" i="8"/>
  <c r="B29" i="8"/>
  <c r="C60" i="8"/>
  <c r="D112" i="8"/>
  <c r="D48" i="8"/>
  <c r="B55" i="8"/>
  <c r="C67" i="8"/>
  <c r="D55" i="8"/>
  <c r="B85" i="8"/>
  <c r="C74" i="8"/>
  <c r="C10" i="8"/>
  <c r="D54" i="8"/>
  <c r="B79" i="8"/>
  <c r="C73" i="8"/>
  <c r="C9" i="8"/>
  <c r="D5" i="8"/>
  <c r="C56" i="8"/>
  <c r="D108" i="8"/>
  <c r="D44" i="8"/>
  <c r="B39" i="8"/>
  <c r="D75" i="8"/>
  <c r="D11" i="8"/>
  <c r="D46" i="8"/>
  <c r="B47" i="8"/>
  <c r="D109" i="8"/>
  <c r="C48" i="8"/>
  <c r="D36" i="8"/>
  <c r="D67" i="8"/>
  <c r="D12" i="8"/>
  <c r="D43" i="8"/>
  <c r="D27" i="8"/>
  <c r="B33" i="8"/>
  <c r="B7" i="8"/>
  <c r="D85" i="8"/>
  <c r="B90" i="8"/>
  <c r="D56" i="8"/>
  <c r="C18" i="8"/>
  <c r="C81" i="8"/>
  <c r="B41" i="11"/>
  <c r="B105" i="11"/>
  <c r="B109" i="11"/>
  <c r="B99" i="11"/>
  <c r="B87" i="11"/>
  <c r="B77" i="11"/>
  <c r="B67" i="11"/>
  <c r="B56" i="11"/>
  <c r="B46" i="11"/>
  <c r="B36" i="11"/>
  <c r="B24" i="11"/>
  <c r="B14" i="11"/>
  <c r="B78" i="11"/>
  <c r="B49" i="11"/>
  <c r="B111" i="11"/>
  <c r="B108" i="11"/>
  <c r="B96" i="11"/>
  <c r="B86" i="11"/>
  <c r="B76" i="11"/>
  <c r="B55" i="11"/>
  <c r="B45" i="11"/>
  <c r="B35" i="11"/>
  <c r="B23" i="11"/>
  <c r="B13" i="11"/>
  <c r="B54" i="11"/>
  <c r="B44" i="11"/>
  <c r="B22" i="11"/>
  <c r="B53" i="11"/>
  <c r="B11" i="11"/>
  <c r="B8" i="11"/>
  <c r="B100" i="11"/>
  <c r="B37" i="11"/>
  <c r="B5" i="11"/>
  <c r="B57" i="11"/>
  <c r="B113" i="11"/>
  <c r="B107" i="11"/>
  <c r="B95" i="11"/>
  <c r="B85" i="11"/>
  <c r="B75" i="11"/>
  <c r="B64" i="11"/>
  <c r="B32" i="11"/>
  <c r="B12" i="11"/>
  <c r="B43" i="11"/>
  <c r="B31" i="11"/>
  <c r="B21" i="11"/>
  <c r="B27" i="11"/>
  <c r="B65" i="11"/>
  <c r="B117" i="11"/>
  <c r="B104" i="11"/>
  <c r="B94" i="11"/>
  <c r="B84" i="11"/>
  <c r="B72" i="11"/>
  <c r="B63" i="11"/>
  <c r="B9" i="11"/>
  <c r="B73" i="11"/>
  <c r="B116" i="11"/>
  <c r="B103" i="11"/>
  <c r="B93" i="11"/>
  <c r="B83" i="11"/>
  <c r="B71" i="11"/>
  <c r="B62" i="11"/>
  <c r="B52" i="11"/>
  <c r="B40" i="11"/>
  <c r="B30" i="11"/>
  <c r="B20" i="11"/>
  <c r="B110" i="11"/>
  <c r="B59" i="11"/>
  <c r="B15" i="11"/>
  <c r="B17" i="11"/>
  <c r="B81" i="11"/>
  <c r="B115" i="11"/>
  <c r="B102" i="11"/>
  <c r="B92" i="11"/>
  <c r="B80" i="11"/>
  <c r="B70" i="11"/>
  <c r="B61" i="11"/>
  <c r="B51" i="11"/>
  <c r="B39" i="11"/>
  <c r="B29" i="11"/>
  <c r="B19" i="11"/>
  <c r="B7" i="11"/>
  <c r="B68" i="11"/>
  <c r="B25" i="11"/>
  <c r="B89" i="11"/>
  <c r="B112" i="11"/>
  <c r="B101" i="11"/>
  <c r="B91" i="11"/>
  <c r="B79" i="11"/>
  <c r="B69" i="11"/>
  <c r="B60" i="11"/>
  <c r="B48" i="11"/>
  <c r="B38" i="11"/>
  <c r="B28" i="11"/>
  <c r="B16" i="11"/>
  <c r="B6" i="11"/>
  <c r="B33" i="11"/>
  <c r="B97" i="11"/>
  <c r="B88" i="11"/>
  <c r="B47" i="11"/>
  <c r="B66" i="11"/>
  <c r="B26" i="11"/>
  <c r="D5" i="9"/>
  <c r="D13" i="9"/>
  <c r="D21" i="9"/>
  <c r="D29" i="9"/>
  <c r="D37" i="9"/>
  <c r="D45" i="9"/>
  <c r="D53" i="9"/>
  <c r="D61" i="9"/>
  <c r="D69" i="9"/>
  <c r="D77" i="9"/>
  <c r="D85" i="9"/>
  <c r="D93" i="9"/>
  <c r="D101" i="9"/>
  <c r="D109" i="9"/>
  <c r="D117" i="9"/>
  <c r="D56" i="10"/>
  <c r="D113" i="10"/>
  <c r="B58" i="11"/>
  <c r="B98" i="11"/>
  <c r="D6" i="9"/>
  <c r="D14" i="9"/>
  <c r="D22" i="9"/>
  <c r="D30" i="9"/>
  <c r="D38" i="9"/>
  <c r="D46" i="9"/>
  <c r="D54" i="9"/>
  <c r="D62" i="9"/>
  <c r="D70" i="9"/>
  <c r="D78" i="9"/>
  <c r="D86" i="9"/>
  <c r="D94" i="9"/>
  <c r="D102" i="9"/>
  <c r="D110" i="9"/>
  <c r="D63" i="10"/>
  <c r="D112" i="9"/>
  <c r="D107" i="9"/>
  <c r="D12" i="9"/>
  <c r="D28" i="9"/>
  <c r="D44" i="9"/>
  <c r="D68" i="9"/>
  <c r="D100" i="9"/>
  <c r="D112" i="10"/>
  <c r="B42" i="11"/>
  <c r="B90" i="11"/>
  <c r="D7" i="9"/>
  <c r="D15" i="9"/>
  <c r="D23" i="9"/>
  <c r="D31" i="9"/>
  <c r="D39" i="9"/>
  <c r="D47" i="9"/>
  <c r="D55" i="9"/>
  <c r="D63" i="9"/>
  <c r="D71" i="9"/>
  <c r="D79" i="9"/>
  <c r="D87" i="9"/>
  <c r="D95" i="9"/>
  <c r="D103" i="9"/>
  <c r="D111" i="9"/>
  <c r="D64" i="10"/>
  <c r="D16" i="10"/>
  <c r="D99" i="9"/>
  <c r="D20" i="9"/>
  <c r="D36" i="9"/>
  <c r="D76" i="9"/>
  <c r="D116" i="9"/>
  <c r="B34" i="11"/>
  <c r="B114" i="11"/>
  <c r="D8" i="9"/>
  <c r="D16" i="9"/>
  <c r="D24" i="9"/>
  <c r="D32" i="9"/>
  <c r="D40" i="9"/>
  <c r="D48" i="9"/>
  <c r="D56" i="9"/>
  <c r="D64" i="9"/>
  <c r="D72" i="9"/>
  <c r="D80" i="9"/>
  <c r="D88" i="9"/>
  <c r="D96" i="9"/>
  <c r="D104" i="9"/>
  <c r="D65" i="10"/>
  <c r="D115" i="9"/>
  <c r="D92" i="9"/>
  <c r="B18" i="11"/>
  <c r="B74" i="11"/>
  <c r="D9" i="9"/>
  <c r="D17" i="9"/>
  <c r="D25" i="9"/>
  <c r="D33" i="9"/>
  <c r="D41" i="9"/>
  <c r="D49" i="9"/>
  <c r="D57" i="9"/>
  <c r="D65" i="9"/>
  <c r="D73" i="9"/>
  <c r="D81" i="9"/>
  <c r="D89" i="9"/>
  <c r="D97" i="9"/>
  <c r="D105" i="9"/>
  <c r="D113" i="9"/>
  <c r="D43" i="10"/>
  <c r="D79" i="10"/>
  <c r="D45" i="10"/>
  <c r="D52" i="9"/>
  <c r="D108" i="9"/>
  <c r="B10" i="11"/>
  <c r="B82" i="11"/>
  <c r="D10" i="9"/>
  <c r="D18" i="9"/>
  <c r="D26" i="9"/>
  <c r="D34" i="9"/>
  <c r="D42" i="9"/>
  <c r="D50" i="9"/>
  <c r="D58" i="9"/>
  <c r="D66" i="9"/>
  <c r="D74" i="9"/>
  <c r="D82" i="9"/>
  <c r="D90" i="9"/>
  <c r="D98" i="9"/>
  <c r="D106" i="9"/>
  <c r="D114" i="9"/>
  <c r="D44" i="10"/>
  <c r="D100" i="10"/>
  <c r="D91" i="9"/>
  <c r="D111" i="10"/>
  <c r="B50" i="11"/>
  <c r="D60" i="9"/>
  <c r="D84" i="9"/>
  <c r="D55" i="10"/>
  <c r="B106" i="11"/>
  <c r="D11" i="9"/>
  <c r="D19" i="9"/>
  <c r="D27" i="9"/>
  <c r="D35" i="9"/>
  <c r="D43" i="9"/>
  <c r="D51" i="9"/>
  <c r="D59" i="9"/>
  <c r="D67" i="9"/>
  <c r="D75" i="9"/>
  <c r="D83" i="9"/>
  <c r="D115" i="10"/>
  <c r="D103" i="10"/>
  <c r="D94" i="10"/>
  <c r="D86" i="10"/>
  <c r="D82" i="10"/>
  <c r="D69" i="10"/>
  <c r="D66" i="10"/>
  <c r="D49" i="10"/>
  <c r="D37" i="10"/>
  <c r="D29" i="10"/>
  <c r="D21" i="10"/>
  <c r="D11" i="10"/>
  <c r="D32" i="10"/>
  <c r="D105" i="10"/>
  <c r="D22" i="10"/>
  <c r="D114" i="10"/>
  <c r="D102" i="10"/>
  <c r="D93" i="10"/>
  <c r="D84" i="10"/>
  <c r="D74" i="10"/>
  <c r="D68" i="10"/>
  <c r="D58" i="10"/>
  <c r="D41" i="10"/>
  <c r="D36" i="10"/>
  <c r="D28" i="10"/>
  <c r="D20" i="10"/>
  <c r="D10" i="10"/>
  <c r="D35" i="10"/>
  <c r="D19" i="10"/>
  <c r="D46" i="10"/>
  <c r="D9" i="10"/>
  <c r="D52" i="10"/>
  <c r="D116" i="10"/>
  <c r="D109" i="10"/>
  <c r="D101" i="10"/>
  <c r="D92" i="10"/>
  <c r="D85" i="10"/>
  <c r="D81" i="10"/>
  <c r="D67" i="10"/>
  <c r="D57" i="10"/>
  <c r="D48" i="10"/>
  <c r="D25" i="10"/>
  <c r="D17" i="10"/>
  <c r="D34" i="10"/>
  <c r="D18" i="10"/>
  <c r="D47" i="10"/>
  <c r="D8" i="10"/>
  <c r="D13" i="10"/>
  <c r="D70" i="10"/>
  <c r="D38" i="10"/>
  <c r="D5" i="10"/>
  <c r="D108" i="10"/>
  <c r="D99" i="10"/>
  <c r="D91" i="10"/>
  <c r="D83" i="10"/>
  <c r="D80" i="10"/>
  <c r="D54" i="10"/>
  <c r="D53" i="10"/>
  <c r="D24" i="10"/>
  <c r="D61" i="10"/>
  <c r="D23" i="10"/>
  <c r="D14" i="10"/>
  <c r="D95" i="10"/>
  <c r="D107" i="10"/>
  <c r="D98" i="10"/>
  <c r="D90" i="10"/>
  <c r="D78" i="10"/>
  <c r="D73" i="10"/>
  <c r="D33" i="10"/>
  <c r="D15" i="10"/>
  <c r="D27" i="10"/>
  <c r="D59" i="10"/>
  <c r="D42" i="10"/>
  <c r="D30" i="10"/>
  <c r="D12" i="10"/>
  <c r="D110" i="10"/>
  <c r="D106" i="10"/>
  <c r="D97" i="10"/>
  <c r="D89" i="10"/>
  <c r="D77" i="10"/>
  <c r="D72" i="10"/>
  <c r="D62" i="10"/>
  <c r="D51" i="10"/>
  <c r="D40" i="10"/>
  <c r="D7" i="10"/>
  <c r="D87" i="10"/>
  <c r="D117" i="10"/>
  <c r="D104" i="10"/>
  <c r="D96" i="10"/>
  <c r="D88" i="10"/>
  <c r="D76" i="10"/>
  <c r="D71" i="10"/>
  <c r="D60" i="10"/>
  <c r="D50" i="10"/>
  <c r="D39" i="10"/>
  <c r="D31" i="10"/>
  <c r="D26" i="10"/>
  <c r="D6" i="10"/>
  <c r="D75" i="10"/>
</calcChain>
</file>

<file path=xl/sharedStrings.xml><?xml version="1.0" encoding="utf-8"?>
<sst xmlns="http://schemas.openxmlformats.org/spreadsheetml/2006/main" count="2210" uniqueCount="942">
  <si>
    <t>Category</t>
  </si>
  <si>
    <t>Parameter</t>
  </si>
  <si>
    <t>Description</t>
  </si>
  <si>
    <t>Data Source</t>
  </si>
  <si>
    <t>Data Type</t>
  </si>
  <si>
    <t>x</t>
  </si>
  <si>
    <t>1. Identification and General Information</t>
  </si>
  <si>
    <t>Product Name</t>
  </si>
  <si>
    <t xml:space="preserve">Name of the material </t>
  </si>
  <si>
    <t>Manufacturer documentation</t>
  </si>
  <si>
    <t>Text</t>
  </si>
  <si>
    <t>Product ID</t>
  </si>
  <si>
    <t xml:space="preserve">Unique identifier of the material </t>
  </si>
  <si>
    <t>Certification or compliance report</t>
  </si>
  <si>
    <t>String</t>
  </si>
  <si>
    <t>Object number</t>
  </si>
  <si>
    <t>Unique BIM-generated object reference</t>
  </si>
  <si>
    <t>BIM parameter</t>
  </si>
  <si>
    <t>Material Type</t>
  </si>
  <si>
    <t>Category or type of material</t>
  </si>
  <si>
    <t xml:space="preserve">Manufacturer </t>
  </si>
  <si>
    <t>Producer of the material</t>
  </si>
  <si>
    <t>Distributor</t>
  </si>
  <si>
    <t>Name and contact of distributor</t>
  </si>
  <si>
    <t>Supplier</t>
  </si>
  <si>
    <t>Name and contact of supplier or sub-supplier</t>
  </si>
  <si>
    <t>Transportation Route</t>
  </si>
  <si>
    <t>Typical transport routes and modes</t>
  </si>
  <si>
    <t>Traceability ID</t>
  </si>
  <si>
    <t>Unique digital ID for traceability (QR or blockchain)</t>
  </si>
  <si>
    <t>Origin</t>
  </si>
  <si>
    <t>Geographic source product</t>
  </si>
  <si>
    <t>Version number</t>
  </si>
  <si>
    <t>Passport version control</t>
  </si>
  <si>
    <t xml:space="preserve">Assigned </t>
  </si>
  <si>
    <t>2. Physical and Technical Properties</t>
  </si>
  <si>
    <t>Material</t>
  </si>
  <si>
    <t>Description of the material</t>
  </si>
  <si>
    <t>Component</t>
  </si>
  <si>
    <t>Description of the component</t>
  </si>
  <si>
    <t>Composition</t>
  </si>
  <si>
    <t>Material composition and proportions</t>
  </si>
  <si>
    <t>Dimensions</t>
  </si>
  <si>
    <t>Dimention type (cm)</t>
  </si>
  <si>
    <t>Height</t>
  </si>
  <si>
    <t>Height of the material (mm)</t>
  </si>
  <si>
    <t>Numeric</t>
  </si>
  <si>
    <t>Length</t>
  </si>
  <si>
    <t>Length of the material (mm)</t>
  </si>
  <si>
    <t>Width</t>
  </si>
  <si>
    <t>Width of the material (mm)</t>
  </si>
  <si>
    <t>Volume</t>
  </si>
  <si>
    <t>Volume of the material(m³)</t>
  </si>
  <si>
    <t>Dry density</t>
  </si>
  <si>
    <t>Mass per unit volume completely oven-dried (kg/m³)</t>
  </si>
  <si>
    <t>Equilibrium density</t>
  </si>
  <si>
    <t>Mass per unit volume on normal ambient conditions (kg/m³)</t>
  </si>
  <si>
    <t>Weight</t>
  </si>
  <si>
    <t>Mass per unit (kg)</t>
  </si>
  <si>
    <t>Compressive strength</t>
  </si>
  <si>
    <t>Compressive resistance (Mpa)</t>
  </si>
  <si>
    <t>Laboratory test</t>
  </si>
  <si>
    <t>Shear strength</t>
  </si>
  <si>
    <t>Flextural resistance (Mpa)</t>
  </si>
  <si>
    <t>Thermal conductivity</t>
  </si>
  <si>
    <t>λ-value (W/mK)</t>
  </si>
  <si>
    <t>Heat transfer coefficient</t>
  </si>
  <si>
    <t>u-value (W/m²K)</t>
  </si>
  <si>
    <t>Sprecific heat capacity</t>
  </si>
  <si>
    <t>Heat required to raise temperature (J/kg·K)</t>
  </si>
  <si>
    <t>Phase shift</t>
  </si>
  <si>
    <t>Delay in heat transfer through material (hours)</t>
  </si>
  <si>
    <t>Moisture Buffer Value</t>
  </si>
  <si>
    <t>Moisture absorption/desorption capacity of the material</t>
  </si>
  <si>
    <t>Water vapour diffusion
resistance when wet</t>
  </si>
  <si>
    <t>Ability of material to allow vapor to pass through</t>
  </si>
  <si>
    <t>Water vapour diffusion
resistance when dry</t>
  </si>
  <si>
    <t>Water vapour absorption resistance</t>
  </si>
  <si>
    <t>Resistance to vapor absorption at surface</t>
  </si>
  <si>
    <t>Standard compliance</t>
  </si>
  <si>
    <t>Of relevant building or environmental standards</t>
  </si>
  <si>
    <t>Boolean</t>
  </si>
  <si>
    <t>3. Circularity and End-of-Life Information</t>
  </si>
  <si>
    <t>Connection Type</t>
  </si>
  <si>
    <t>Type of material connection (Dry interlock / bolted / screwed; Mortar / adhesive / binder-based; Cast-in-place)</t>
  </si>
  <si>
    <t>Connection Score</t>
  </si>
  <si>
    <t>Ease of separation or reversibility score</t>
  </si>
  <si>
    <t xml:space="preserve">Prefabrication </t>
  </si>
  <si>
    <t>If product is prefabricated</t>
  </si>
  <si>
    <t>Prefabrication factor</t>
  </si>
  <si>
    <t>Proportion of prefabricated components</t>
  </si>
  <si>
    <t>Deconstructability score</t>
  </si>
  <si>
    <t>Ease of disassembly and recovery at end of life (simplified from Atta)</t>
  </si>
  <si>
    <t>Calculated</t>
  </si>
  <si>
    <t>Recycling potential</t>
  </si>
  <si>
    <t xml:space="preserve">% of material recyclable </t>
  </si>
  <si>
    <t xml:space="preserve">Reusability </t>
  </si>
  <si>
    <t>If material is reusable as-is</t>
  </si>
  <si>
    <t>Reusability potential</t>
  </si>
  <si>
    <t>Likelihood of reuse without processing</t>
  </si>
  <si>
    <t>Recovery score</t>
  </si>
  <si>
    <t>Ratio of reusable, recyclable, non-toxic, uncoated elements (simplified from Atta)</t>
  </si>
  <si>
    <t>Disassembly potential</t>
  </si>
  <si>
    <t>Disassembly feasibility index</t>
  </si>
  <si>
    <t>Disassembly instructions</t>
  </si>
  <si>
    <t>Guidelines for separation or dismantling</t>
  </si>
  <si>
    <t>Secondary use scenarios</t>
  </si>
  <si>
    <t>Possible post-use applications</t>
  </si>
  <si>
    <t>End-of-life recommendation</t>
  </si>
  <si>
    <t>Suggested disposal or reuse pathway</t>
  </si>
  <si>
    <t>4. Environmental Performance and LCA Data</t>
  </si>
  <si>
    <t xml:space="preserve">EPD </t>
  </si>
  <si>
    <t>Developed recent Environmental Product Declaration</t>
  </si>
  <si>
    <t>Link EPD</t>
  </si>
  <si>
    <t>URL to Environmental Product Declaration</t>
  </si>
  <si>
    <t>Link</t>
  </si>
  <si>
    <t>Global Warming Potential (GWP)</t>
  </si>
  <si>
    <t>CO₂ equivalent per unit (All stages)</t>
  </si>
  <si>
    <t>EPD</t>
  </si>
  <si>
    <t>Renewable MJ consumed during production per unit (All stages)</t>
  </si>
  <si>
    <t>Non-renewable MJ consumed during production per unit (All stages)</t>
  </si>
  <si>
    <t>Acidification Potential (AP)</t>
  </si>
  <si>
    <t>SO₂ equivalent per unit (All stages)</t>
  </si>
  <si>
    <t>Embodied carbon</t>
  </si>
  <si>
    <t>Total CO₂ eq. Per kg for manufacturing (A-stage)</t>
  </si>
  <si>
    <t>Biogenic carbon storage</t>
  </si>
  <si>
    <t>CO₂ sequestered in bio-based material</t>
  </si>
  <si>
    <t>End-of-life emissions</t>
  </si>
  <si>
    <t>Emissions at disposal or biodegradation stage CO₂ eq. Per kg or m2 (C/D-stage)</t>
  </si>
  <si>
    <t>Circularity index</t>
  </si>
  <si>
    <t>Composite score combining reuse and recycling ratios</t>
  </si>
  <si>
    <t>Normalized environmental performance</t>
  </si>
  <si>
    <t>Environmental impact normalized against reference values</t>
  </si>
  <si>
    <t>Secondary life weighting</t>
  </si>
  <si>
    <t>Weighted environmental effect for second-life use</t>
  </si>
  <si>
    <t>Environmental score</t>
  </si>
  <si>
    <t>Normalized overall impact (simplified from Atta)</t>
  </si>
  <si>
    <t>5. Condition, Maintenance, and Temporal Data</t>
  </si>
  <si>
    <t>Service life</t>
  </si>
  <si>
    <t>Expected durability or usable lifespan</t>
  </si>
  <si>
    <t>Mantenance Instructions</t>
  </si>
  <si>
    <t>Guidelines for maintaining the product</t>
  </si>
  <si>
    <t>Soursing distance</t>
  </si>
  <si>
    <t xml:space="preserve">Distance of tavel of sourcing for production </t>
  </si>
  <si>
    <t>Warranty</t>
  </si>
  <si>
    <t>If warranty applies</t>
  </si>
  <si>
    <t>Warranty duration</t>
  </si>
  <si>
    <t>Duration of warranty (Months)</t>
  </si>
  <si>
    <t>Update history</t>
  </si>
  <si>
    <t>Log of changes or inspections</t>
  </si>
  <si>
    <t>Auto-generated (BIM)</t>
  </si>
  <si>
    <t>Log</t>
  </si>
  <si>
    <t>6. Safety and Compliance</t>
  </si>
  <si>
    <t xml:space="preserve">HPD </t>
  </si>
  <si>
    <t>Link HPD</t>
  </si>
  <si>
    <t>Hazard classification</t>
  </si>
  <si>
    <t>Identifies presence of hazardous components</t>
  </si>
  <si>
    <t>PM</t>
  </si>
  <si>
    <t>Potential occurrence of diseases due to particulate matter emissions;</t>
  </si>
  <si>
    <t>IRP</t>
  </si>
  <si>
    <t>Potential effect from human exposure to U235</t>
  </si>
  <si>
    <t>ETP-fw</t>
  </si>
  <si>
    <t>Potential Ecosystem toxicity comparator unit</t>
  </si>
  <si>
    <t>HTP-c</t>
  </si>
  <si>
    <t>Potential human toxicity comparator unit - carcinogenic effect</t>
  </si>
  <si>
    <t>HTP-nc</t>
  </si>
  <si>
    <t>Potential human toxicity comparator unit - non-carcinogenic effect</t>
  </si>
  <si>
    <t>SQP</t>
  </si>
  <si>
    <t>Potential soil quality index</t>
  </si>
  <si>
    <t>Toxicity</t>
  </si>
  <si>
    <t>Presence of harmful compounds or emissions</t>
  </si>
  <si>
    <t>Class</t>
  </si>
  <si>
    <t xml:space="preserve">Safety class according to relevant standard </t>
  </si>
  <si>
    <t>Safety datasheet</t>
  </si>
  <si>
    <t>s-subclass</t>
  </si>
  <si>
    <t>Specific subclass</t>
  </si>
  <si>
    <t>d_subclass</t>
  </si>
  <si>
    <t>Detailed subclass</t>
  </si>
  <si>
    <t>Fire resistance</t>
  </si>
  <si>
    <t>Fire rating or classification</t>
  </si>
  <si>
    <t xml:space="preserve">Coatings </t>
  </si>
  <si>
    <t>Indicated if theres surface finishes or chemical treatments</t>
  </si>
  <si>
    <t>Coatings or treatments</t>
  </si>
  <si>
    <t>Surface finishes or chemical treatments</t>
  </si>
  <si>
    <t>PPE requirements</t>
  </si>
  <si>
    <t>Recommended protective equipment</t>
  </si>
  <si>
    <t>Compliance certificates</t>
  </si>
  <si>
    <t>If theres health, safety, or environmental certifications</t>
  </si>
  <si>
    <t>7. Cultural and Sensory Information</t>
  </si>
  <si>
    <t>Sound Absorption Coefficient</t>
  </si>
  <si>
    <t>Fraction of incident sound absorbed by the material</t>
  </si>
  <si>
    <t>Sound Attenuation Index</t>
  </si>
  <si>
    <t>Reduction in sound transmission through material (Rw)</t>
  </si>
  <si>
    <t>Direct observation</t>
  </si>
  <si>
    <t>Literature / Regional study</t>
  </si>
  <si>
    <t>Literature / Expert evaluation</t>
  </si>
  <si>
    <t>Thermal Comfort</t>
  </si>
  <si>
    <t>Perceived comfort due to heat exchange with surroundings</t>
  </si>
  <si>
    <t>Literature / User experience</t>
  </si>
  <si>
    <t>Text / Numeric</t>
  </si>
  <si>
    <t>Hygrothermal Comfort</t>
  </si>
  <si>
    <t>Perception of comfort due to the material’s ability to regulate indoor humidity, reduce condensation and mold growth, and enhance indoor air quality</t>
  </si>
  <si>
    <t>Acoustic Comfort</t>
  </si>
  <si>
    <t>Subjective perception of sound environment</t>
  </si>
  <si>
    <t>Material Comfort</t>
  </si>
  <si>
    <t>Perceived tactile and visual comfort from material properties</t>
  </si>
  <si>
    <t>Literature / Cultural study</t>
  </si>
  <si>
    <t>8. Economic and Cost Information</t>
  </si>
  <si>
    <t>Material unit cost</t>
  </si>
  <si>
    <t>Cost per unit (kg, m², m³)</t>
  </si>
  <si>
    <t>Currency</t>
  </si>
  <si>
    <t>Assembly cost</t>
  </si>
  <si>
    <t>Combined cost of labor + material per unit (kg, m², m³)</t>
  </si>
  <si>
    <t>Maintenance cost</t>
  </si>
  <si>
    <t>Periodic cost for cleaning, replacement, or care</t>
  </si>
  <si>
    <t>Economic circularity benefit</t>
  </si>
  <si>
    <t>Potential cost savings from reuse or recycling</t>
  </si>
  <si>
    <t>Replacement cost</t>
  </si>
  <si>
    <t>Mid-life upgrades/replacements</t>
  </si>
  <si>
    <t>Net present value</t>
  </si>
  <si>
    <t>Total discounted cost/benefit over time</t>
  </si>
  <si>
    <t>Net savings (net benefit)</t>
  </si>
  <si>
    <t>Difference between options</t>
  </si>
  <si>
    <t>Pay back period</t>
  </si>
  <si>
    <t>Time to recover investment</t>
  </si>
  <si>
    <t>Benefit-Cost ratio</t>
  </si>
  <si>
    <t>PV of benefits / PV of costs</t>
  </si>
  <si>
    <t>Lifecycle cost estimate</t>
  </si>
  <si>
    <t>Sum of initial + maintenance + end-of-life cost</t>
  </si>
  <si>
    <t>Element</t>
  </si>
  <si>
    <t>Name</t>
  </si>
  <si>
    <t>Group</t>
  </si>
  <si>
    <t>DPP_AUT_Name</t>
  </si>
  <si>
    <t>AUT_Authoring</t>
  </si>
  <si>
    <t>DPP_AUT_ID</t>
  </si>
  <si>
    <t>DPP_AUT_Image</t>
  </si>
  <si>
    <t>Image</t>
  </si>
  <si>
    <t>DPP_AUT_GUID</t>
  </si>
  <si>
    <t>DPP_AUT_MaterialType</t>
  </si>
  <si>
    <t>DPP_AUT_Manufacturer</t>
  </si>
  <si>
    <t>DPP_AUT_Manufacturer_URL</t>
  </si>
  <si>
    <t>URL</t>
  </si>
  <si>
    <t>DPP_AUT_Distribuitor</t>
  </si>
  <si>
    <t>DPP_AUT_Distribuitor_URL</t>
  </si>
  <si>
    <t>DPP_AUR_Supplier</t>
  </si>
  <si>
    <t>DPP_AUR_Supplier_URL</t>
  </si>
  <si>
    <t>DPP_AUT_TransRoute</t>
  </si>
  <si>
    <t>Multiline Text</t>
  </si>
  <si>
    <t>DPP_AUT_Traceability</t>
  </si>
  <si>
    <t>DPP_AUT_Origin</t>
  </si>
  <si>
    <t>DPP_AUT_Version</t>
  </si>
  <si>
    <t>DPP_MAT_Material</t>
  </si>
  <si>
    <t>MAT_Material</t>
  </si>
  <si>
    <t>DPP_MAT_Components</t>
  </si>
  <si>
    <t>DPP_MAT_Composition</t>
  </si>
  <si>
    <t>DPP_AUT_TypeDimension</t>
  </si>
  <si>
    <t>DPP_DIM_Height_mm</t>
  </si>
  <si>
    <t>DIM_Dimensions</t>
  </si>
  <si>
    <t>DPP_DIM_Width_mm</t>
  </si>
  <si>
    <t>DPP_DIM_Length_mm</t>
  </si>
  <si>
    <t>DPP_DIM_Volume_m3</t>
  </si>
  <si>
    <t>DPP_DAT_DryDensity_kgm3</t>
  </si>
  <si>
    <t>DAT_PhysicalData</t>
  </si>
  <si>
    <t>Mass density</t>
  </si>
  <si>
    <t>DPP_DAT_EqDensity_kgm3</t>
  </si>
  <si>
    <t>DPP_DAT_Weight_kg</t>
  </si>
  <si>
    <t>Number</t>
  </si>
  <si>
    <t>DPP_DAT_CompressiveStrenght_Mpa</t>
  </si>
  <si>
    <t>DPP_DAT_ShearStrenght_Mpa</t>
  </si>
  <si>
    <t>DPP_DAT_ThermalConductivity_WmK</t>
  </si>
  <si>
    <t>DPP_DAT_Uvalue_Wm2K</t>
  </si>
  <si>
    <t>DPP_DAT_SpeHeatCap_JkgK</t>
  </si>
  <si>
    <t>DPP_DAT_PhaseShift_Hours</t>
  </si>
  <si>
    <t>DPP_DAT_MoistureBuffer_m2%HR</t>
  </si>
  <si>
    <t>DPP_DAT_VaporDiffμ_wet</t>
  </si>
  <si>
    <t>DPP_DAT_VaporDiffμ_dry</t>
  </si>
  <si>
    <t>DPP_DAT_VaporAbsorption</t>
  </si>
  <si>
    <t>DPP_DAT_StandarCompliance</t>
  </si>
  <si>
    <t>YesNo</t>
  </si>
  <si>
    <t>DPP_CIR_ConnectionType</t>
  </si>
  <si>
    <t>CIR_CircularityData</t>
  </si>
  <si>
    <t>DPP_CIR_ConnectionScore</t>
  </si>
  <si>
    <t>DPP_CIR_Prefabrication</t>
  </si>
  <si>
    <t>DPP_CIR_PrefabricationFactor</t>
  </si>
  <si>
    <t>DPP_CIR_DeconstructabilityScore</t>
  </si>
  <si>
    <t>DPP_CIR_RecyclingPotential</t>
  </si>
  <si>
    <t>DPP_CIR_Reusability</t>
  </si>
  <si>
    <t>DPP_CIR_ReusabilityPotential</t>
  </si>
  <si>
    <t>DPP_CIR_RecoveryScore</t>
  </si>
  <si>
    <t>DPP_CIR_Disassemblypotential</t>
  </si>
  <si>
    <t>DPP_CIR_DisassemblyInstructions</t>
  </si>
  <si>
    <t>DPP_CIR_SecondaryUse</t>
  </si>
  <si>
    <t>DPP_CIR_EndofLifeRecomendations</t>
  </si>
  <si>
    <t>DPP_END_EPD</t>
  </si>
  <si>
    <t>END_EnvironmentalData</t>
  </si>
  <si>
    <t>DPP_END_EPD_URL</t>
  </si>
  <si>
    <t>DPP_END_GWP_kgCO₂eq</t>
  </si>
  <si>
    <t>DPP_END_PEI_MJKg</t>
  </si>
  <si>
    <t>DPP_END_PERT_MJKg</t>
  </si>
  <si>
    <t>DPP_END_PENRT_MJKg</t>
  </si>
  <si>
    <t>DPP_END_AP_kgSO₂eq</t>
  </si>
  <si>
    <t>DPP_END_EmbodiedCarbon_kgCO₂eq</t>
  </si>
  <si>
    <t>DPP_END_BiogenicCarbon_kgCO₂eq</t>
  </si>
  <si>
    <t>DPP_END_EndoflifeEmissions_kgCO₂eq</t>
  </si>
  <si>
    <t>DPP_CIR_CircularityIndex</t>
  </si>
  <si>
    <t>CIR_CircularityIndex</t>
  </si>
  <si>
    <t>DPP_END_Ei</t>
  </si>
  <si>
    <t>DPP_END_w</t>
  </si>
  <si>
    <t>DPP_END_EnvironmentalScore</t>
  </si>
  <si>
    <t>DPP_TMP_ServiceLife_years</t>
  </si>
  <si>
    <t>TMP_TemporalData</t>
  </si>
  <si>
    <t>Integer</t>
  </si>
  <si>
    <t>DPP_TMP_Manteinance</t>
  </si>
  <si>
    <t>DPP_TMP_Soursing_km</t>
  </si>
  <si>
    <t>Distance</t>
  </si>
  <si>
    <t>DPP_TMP_Warranty</t>
  </si>
  <si>
    <t>DPP_TMP_UpdateHistory</t>
  </si>
  <si>
    <t>DPP_SAD_HPD</t>
  </si>
  <si>
    <t>SAD_SafetyData</t>
  </si>
  <si>
    <t>DPP_SAD_HPD_URL</t>
  </si>
  <si>
    <t>DPP_SAD_HazardClassification</t>
  </si>
  <si>
    <t>DPP_SAD_PM_CTUh</t>
  </si>
  <si>
    <t>DPP_SAD_SQP</t>
  </si>
  <si>
    <t>DPP_SAD_Toxicity</t>
  </si>
  <si>
    <t>DPP_SAD_Fire_Class</t>
  </si>
  <si>
    <t>DPP_SAD_Fire_Ssubclass</t>
  </si>
  <si>
    <t>DPP_SAD_Fire_Dsubclass</t>
  </si>
  <si>
    <t>DPP_SAD_FireResistance</t>
  </si>
  <si>
    <t>DPP_SAD_Coatings</t>
  </si>
  <si>
    <t>DPP_SAD_CoatingType</t>
  </si>
  <si>
    <t>DPP_SAD_PPERequirements</t>
  </si>
  <si>
    <t>DPP_SAD_Compliance</t>
  </si>
  <si>
    <t>DPP_ASD_SAC</t>
  </si>
  <si>
    <t>ASD_AstheticData</t>
  </si>
  <si>
    <t>DPP_ASD_SAI_db</t>
  </si>
  <si>
    <t>DPP_ASD_Color</t>
  </si>
  <si>
    <t>DPP_ASD_Odor</t>
  </si>
  <si>
    <t>DPP_ASD_Texture</t>
  </si>
  <si>
    <t>DPP_ASD_Temp</t>
  </si>
  <si>
    <t>DPP_ASD_ClimateSuitability</t>
  </si>
  <si>
    <t>DPP_ASD_AgriculturalValue</t>
  </si>
  <si>
    <t>DPP_ASD_ResourseAvailability</t>
  </si>
  <si>
    <t>DPP_ASD_Aging</t>
  </si>
  <si>
    <t>DPP_ASD_Architectural</t>
  </si>
  <si>
    <t>DPP_ASD_Aesthetic</t>
  </si>
  <si>
    <t>DPP_ASD_ComfortThermal</t>
  </si>
  <si>
    <t>DPP_ASD_ComfortHygrothermal</t>
  </si>
  <si>
    <t>DPP_ASD_ComfortAcoustic</t>
  </si>
  <si>
    <t>DPP_ASD_ComfortMaterial</t>
  </si>
  <si>
    <t>DPP_ASD_Craft</t>
  </si>
  <si>
    <t>DPP_ASD_Symbolism</t>
  </si>
  <si>
    <t>DPP_COD_UnitCost_EUR</t>
  </si>
  <si>
    <t>COD_CostData</t>
  </si>
  <si>
    <t>DPP_COD_Assembly_EUR</t>
  </si>
  <si>
    <t>Cost per area</t>
  </si>
  <si>
    <t>DPP_COD_Maintenance_EUR</t>
  </si>
  <si>
    <t>DPP_COD_CircularBenefit_EUR</t>
  </si>
  <si>
    <t>DPP_COD_Replacement_EUR</t>
  </si>
  <si>
    <t>DPP_COD_NPV_EUR</t>
  </si>
  <si>
    <t>DPP_COD_NS_EUR</t>
  </si>
  <si>
    <t>DPP_COD_PBP</t>
  </si>
  <si>
    <t>DPP_COD_BenefitCost</t>
  </si>
  <si>
    <t>DPP_COD_LCC_EUR</t>
  </si>
  <si>
    <t>Product Image</t>
  </si>
  <si>
    <t xml:space="preserve">Link Manufacturer </t>
  </si>
  <si>
    <t>Link Distributor</t>
  </si>
  <si>
    <t>Link Supplier</t>
  </si>
  <si>
    <t>Image of material in PNG</t>
  </si>
  <si>
    <t>URL to manufacturer page</t>
  </si>
  <si>
    <t>URL to distributor page</t>
  </si>
  <si>
    <t>URL to supplier page</t>
  </si>
  <si>
    <t>Distributor documentation</t>
  </si>
  <si>
    <t>Supplier documentation</t>
  </si>
  <si>
    <t xml:space="preserve">Primary Energy Intensity (PEI) </t>
  </si>
  <si>
    <t>Primary Energy Intensity (PERT) Renewable</t>
  </si>
  <si>
    <t>Primary Energy Intensity (PENRT) Non-renewable</t>
  </si>
  <si>
    <t>Total MJ consumed during production per unit (All stages)</t>
  </si>
  <si>
    <t>DPP_TMP_Warranty_months</t>
  </si>
  <si>
    <t>DPP_SAD_HRPnc_CTUh</t>
  </si>
  <si>
    <t>DPP_SAD_HRPc_CTUh</t>
  </si>
  <si>
    <t xml:space="preserve">DPP_SAD_ETPfw_CTUe </t>
  </si>
  <si>
    <t>DPP_SAD_IRP_kBqU235eq</t>
  </si>
  <si>
    <t>Color</t>
  </si>
  <si>
    <t>Odor</t>
  </si>
  <si>
    <t>Texture</t>
  </si>
  <si>
    <t>Temperature to touch</t>
  </si>
  <si>
    <t>Climate Suitability</t>
  </si>
  <si>
    <t>Agriculatural Value</t>
  </si>
  <si>
    <t>Resourse Availability</t>
  </si>
  <si>
    <t>Material Aging</t>
  </si>
  <si>
    <t>Architectural Expression</t>
  </si>
  <si>
    <t>Aesthetic Narratives</t>
  </si>
  <si>
    <t>Craft Knowledge</t>
  </si>
  <si>
    <t>Identity and Symbolism</t>
  </si>
  <si>
    <t>Color of the material</t>
  </si>
  <si>
    <t>Texture of the material</t>
  </si>
  <si>
    <t>Scent of the material</t>
  </si>
  <si>
    <t>Surface temperature of the material</t>
  </si>
  <si>
    <t>Appropriateness of the material for local weather conditions</t>
  </si>
  <si>
    <t>Material’s relevance or contribution to farming or land use</t>
  </si>
  <si>
    <t>Ease of obtaining the material in a given region</t>
  </si>
  <si>
    <t>How the material changes in appearance and performance over time</t>
  </si>
  <si>
    <t>How the material conveys style, form, or design intent</t>
  </si>
  <si>
    <t>Visual or sensory stories the material communicates</t>
  </si>
  <si>
    <t>Skills and traditions required to work with the material</t>
  </si>
  <si>
    <t>Cultural meanings or associations tied to the material</t>
  </si>
  <si>
    <t>Group parameter Under Names</t>
  </si>
  <si>
    <t>Revit API name</t>
  </si>
  <si>
    <t>BP Group</t>
  </si>
  <si>
    <t>Type</t>
  </si>
  <si>
    <t>Definition</t>
  </si>
  <si>
    <t>Analysis Results</t>
  </si>
  <si>
    <t>PG_ANALYSIS_RESULTS</t>
  </si>
  <si>
    <t>Analysis &amp; Analytical Groups</t>
  </si>
  <si>
    <t>For displaying calculated values (e.g., structural or energy analysis outputs)</t>
  </si>
  <si>
    <t>Analytical Alignment</t>
  </si>
  <si>
    <t>AnalyticalAlignment</t>
  </si>
  <si>
    <t>PG_ALIGNMENT</t>
  </si>
  <si>
    <t>For parameters defining analytical model alignment or adjustments</t>
  </si>
  <si>
    <t>Analytical Model</t>
  </si>
  <si>
    <t>AnalyticalModel</t>
  </si>
  <si>
    <t>PG_ANALYTICAL_MODEL</t>
  </si>
  <si>
    <t>For parameters related to analytical representation of physical elements</t>
  </si>
  <si>
    <t>Constraints</t>
  </si>
  <si>
    <t>PG_CONSTRAINTS</t>
  </si>
  <si>
    <t>Construction &amp; Constraints</t>
  </si>
  <si>
    <t>For controlling element relationships (e.g., levels, offsets, locked dimensions)</t>
  </si>
  <si>
    <t>Construction</t>
  </si>
  <si>
    <t>PG_CONSTRUCTION</t>
  </si>
  <si>
    <t>For parameters related to construction sequencing, methods, or materials</t>
  </si>
  <si>
    <t>Data</t>
  </si>
  <si>
    <t>PG_DATA</t>
  </si>
  <si>
    <t>Data &amp; Geometry</t>
  </si>
  <si>
    <t>General-purpose data parameters (e.g., IDs, classification codes)</t>
  </si>
  <si>
    <t>Geometry</t>
  </si>
  <si>
    <t>PG_DIMENSIONS</t>
  </si>
  <si>
    <t>For numeric or size parameters (height, width, depth, etc.)</t>
  </si>
  <si>
    <t>Division Geometry</t>
  </si>
  <si>
    <t>DivisionGeometry</t>
  </si>
  <si>
    <t>PG_GEOMETRY</t>
  </si>
  <si>
    <t>For subdivision or geometry-based controls, typically used in civil/landscape or curtain systems</t>
  </si>
  <si>
    <t>Electrical</t>
  </si>
  <si>
    <t>PG_ELECTRICAL</t>
  </si>
  <si>
    <t>General electrical parameters (e.g., voltage, panel, circuit)</t>
  </si>
  <si>
    <t>Electrical - Circuiting</t>
  </si>
  <si>
    <t>ElectricalCircuiting</t>
  </si>
  <si>
    <t>PG_CIRCUITING</t>
  </si>
  <si>
    <t>Circuit connection parameters (load classification, circuit number)</t>
  </si>
  <si>
    <t>Electrical - Lighting</t>
  </si>
  <si>
    <t>ElectricalLighting</t>
  </si>
  <si>
    <t>PG_LIGHTING</t>
  </si>
  <si>
    <t>For light fixtures, wattage, illumination levels</t>
  </si>
  <si>
    <t>Electrical - Loads</t>
  </si>
  <si>
    <t>ElectricalLoads</t>
  </si>
  <si>
    <t>PG_ELECTRICAL_LOADS</t>
  </si>
  <si>
    <t>For parameters that define electrical load data</t>
  </si>
  <si>
    <t>Electrical Analysis</t>
  </si>
  <si>
    <t>ElectricalAnalysis</t>
  </si>
  <si>
    <t>PG_ELECTRICAL_ANALYSIS</t>
  </si>
  <si>
    <t>For parameters used in electrical system load or circuit analysis</t>
  </si>
  <si>
    <t>Electrical Engineering</t>
  </si>
  <si>
    <t>ElectricalEngineering</t>
  </si>
  <si>
    <t>Broader engineering-level electrical data (design, specifications)</t>
  </si>
  <si>
    <t>Energy Analysis</t>
  </si>
  <si>
    <t>EnergyAnalysis</t>
  </si>
  <si>
    <t>PG_ENERGYANALYSIS</t>
  </si>
  <si>
    <t>For parameters used in energy modeling or building performance simulations</t>
  </si>
  <si>
    <t>Fire Protection</t>
  </si>
  <si>
    <t>FireProtection</t>
  </si>
  <si>
    <t>PG_FIRE_PROTECTION</t>
  </si>
  <si>
    <t>Protection &amp; Safety</t>
  </si>
  <si>
    <t>For fire suppression, alarm, or safety parameters</t>
  </si>
  <si>
    <t>Forces</t>
  </si>
  <si>
    <t>PG_FORCES</t>
  </si>
  <si>
    <t>Structural &amp; Mechanical</t>
  </si>
  <si>
    <t>For structural forces (moment, shear, axial)</t>
  </si>
  <si>
    <t>General</t>
  </si>
  <si>
    <t>PG_GENERAL</t>
  </si>
  <si>
    <t>Model Management</t>
  </si>
  <si>
    <t>For common parameters not fitting in another category</t>
  </si>
  <si>
    <t>Graphics</t>
  </si>
  <si>
    <t>PG_GRAPHICS</t>
  </si>
  <si>
    <t>For visibility, line style, or symbolic representation controls</t>
  </si>
  <si>
    <t>Green Building Properties</t>
  </si>
  <si>
    <t>GreenBuilding</t>
  </si>
  <si>
    <t>PG_GREEN_PROPERTIES</t>
  </si>
  <si>
    <t>For sustainability or energy performance data</t>
  </si>
  <si>
    <t>Identity Data</t>
  </si>
  <si>
    <t>IdentityData</t>
  </si>
  <si>
    <t>PG_IDENTITY_DATA</t>
  </si>
  <si>
    <t>For naming, manufacturer, or identification info</t>
  </si>
  <si>
    <t>IFC Parameters</t>
  </si>
  <si>
    <t>Ifc</t>
  </si>
  <si>
    <t>PG_IFC</t>
  </si>
  <si>
    <t>For IFC export-related mapping and classifications</t>
  </si>
  <si>
    <t>Layers</t>
  </si>
  <si>
    <t>PG_LAYERS</t>
  </si>
  <si>
    <t>For system layers (walls, floors)</t>
  </si>
  <si>
    <t>Life Safety</t>
  </si>
  <si>
    <t>LifeSafety</t>
  </si>
  <si>
    <t>PG_LIFE_SAFETY</t>
  </si>
  <si>
    <t>For egress, occupancy, or code compliance information</t>
  </si>
  <si>
    <t>Materials and Finishes</t>
  </si>
  <si>
    <t>Materials</t>
  </si>
  <si>
    <t>PG_MATERIALS</t>
  </si>
  <si>
    <t>For specifying materials or surface finishes</t>
  </si>
  <si>
    <t>Mechanical</t>
  </si>
  <si>
    <t>PG_MECHANICAL</t>
  </si>
  <si>
    <t>For general mechanical systems (HVAC, ducts)</t>
  </si>
  <si>
    <t>Mechanical - Flow</t>
  </si>
  <si>
    <t>MechanicalAirFlow</t>
  </si>
  <si>
    <t>PG_FLOW</t>
  </si>
  <si>
    <t>For flow-related parameters (CFM, pressure drop)</t>
  </si>
  <si>
    <t>Mechanical - Loads</t>
  </si>
  <si>
    <t>MechanicalLoads</t>
  </si>
  <si>
    <t>PG_LOADS</t>
  </si>
  <si>
    <t>For load-related mechanical parameters</t>
  </si>
  <si>
    <t>Model Properties</t>
  </si>
  <si>
    <t>Properties</t>
  </si>
  <si>
    <t>PG_PROPERTIES</t>
  </si>
  <si>
    <t>For core model-level information (type, category, etc.)</t>
  </si>
  <si>
    <t>Moments</t>
  </si>
  <si>
    <t>PG_MOMENT</t>
  </si>
  <si>
    <t>For structural moment values</t>
  </si>
  <si>
    <t>Other</t>
  </si>
  <si>
    <t>PG_OTHER</t>
  </si>
  <si>
    <t>For miscellaneous data without a specific group</t>
  </si>
  <si>
    <t>Overall Legend</t>
  </si>
  <si>
    <t>OverallLegend</t>
  </si>
  <si>
    <t>PG_LEGEND</t>
  </si>
  <si>
    <t>For legend-level or documentation-related parameters</t>
  </si>
  <si>
    <t>Phasing</t>
  </si>
  <si>
    <t>PG_PHASING</t>
  </si>
  <si>
    <t>For parameters related to project phases (existing, new, demolished)</t>
  </si>
  <si>
    <t>Photometrics</t>
  </si>
  <si>
    <t>PG_PHOTOMETRICS</t>
  </si>
  <si>
    <t>Plumbing &amp; MEP</t>
  </si>
  <si>
    <t>For light output characteristics (lumens, candela)</t>
  </si>
  <si>
    <t>Plumbing</t>
  </si>
  <si>
    <t>PG_PLUMBING</t>
  </si>
  <si>
    <t>For plumbing systems (fixtures, flow rates, pipe data)</t>
  </si>
  <si>
    <t>Primary End</t>
  </si>
  <si>
    <t>PrimaryEnd</t>
  </si>
  <si>
    <t>PG_PRIMARY_END</t>
  </si>
  <si>
    <t>For start parameters in linear elements (beams, columns)</t>
  </si>
  <si>
    <t>Rebar Set</t>
  </si>
  <si>
    <t>RebarArray</t>
  </si>
  <si>
    <t>PG_REBARSET</t>
  </si>
  <si>
    <t>For rebar grouping or arrangement parameters</t>
  </si>
  <si>
    <t>Releases / Member Forces</t>
  </si>
  <si>
    <t>ReleasesMemberForces</t>
  </si>
  <si>
    <t>PG_RELEASES</t>
  </si>
  <si>
    <t>For defining end releases or member structural reactions</t>
  </si>
  <si>
    <t>Secondary End</t>
  </si>
  <si>
    <t>SecondaryEnd</t>
  </si>
  <si>
    <t>PG_SECONDARY_END</t>
  </si>
  <si>
    <t>For end parameters in linear elements (beams, columns)</t>
  </si>
  <si>
    <t>Segments and Fittings</t>
  </si>
  <si>
    <t>SegmentsFittings</t>
  </si>
  <si>
    <t>PG_SEGMENTS</t>
  </si>
  <si>
    <t>For duct/pipe segment or fitting data</t>
  </si>
  <si>
    <t>Set</t>
  </si>
  <si>
    <t>PG_SET</t>
  </si>
  <si>
    <t>For parameters tied to element groups or assemblies</t>
  </si>
  <si>
    <t>Slab Shape Edit</t>
  </si>
  <si>
    <t>SlabShapeEdit</t>
  </si>
  <si>
    <t>PG_SLABSHAPE</t>
  </si>
  <si>
    <t>For editing variable floor slab geometry</t>
  </si>
  <si>
    <t>Structural</t>
  </si>
  <si>
    <t>PG_STRUCTURAL</t>
  </si>
  <si>
    <t>For physical structural properties (rebar, materials)</t>
  </si>
  <si>
    <t>Structural Analysis</t>
  </si>
  <si>
    <t>StructuralAnalysis</t>
  </si>
  <si>
    <t>PG_STRUCTURAL_ANALYSIS</t>
  </si>
  <si>
    <t>For structural simulation or analytical data</t>
  </si>
  <si>
    <t>Structural Section Dimensions</t>
  </si>
  <si>
    <t>StructuralSectionDimensions</t>
  </si>
  <si>
    <t>PG_STRUCTURAL_SECTION</t>
  </si>
  <si>
    <t>Documentation &amp; Text</t>
  </si>
  <si>
    <t>For structural profile dimensions</t>
  </si>
  <si>
    <t>Sub-division</t>
  </si>
  <si>
    <t>Subdivision</t>
  </si>
  <si>
    <t>PG_SUBDIVISION</t>
  </si>
  <si>
    <t>For subdivided geometry or detail models</t>
  </si>
  <si>
    <t>PG_TEXT</t>
  </si>
  <si>
    <t>For annotation text control or text-based metadata</t>
  </si>
  <si>
    <t>Title Text</t>
  </si>
  <si>
    <t>PG_TITLE</t>
  </si>
  <si>
    <t>For sheet title blocks or labels</t>
  </si>
  <si>
    <t>View to Sheet Positioning</t>
  </si>
  <si>
    <t>ViewExtents</t>
  </si>
  <si>
    <t>PG_SHEET_POSITION</t>
  </si>
  <si>
    <t>For view placement info on sheets</t>
  </si>
  <si>
    <t>Visibility</t>
  </si>
  <si>
    <t>PG_VISIBILITY</t>
  </si>
  <si>
    <t>For turning elements on/off by view or category</t>
  </si>
  <si>
    <t>Visualization</t>
  </si>
  <si>
    <t>PG_VISUALIZATION</t>
  </si>
  <si>
    <t>For rendering or appearance settings</t>
  </si>
  <si>
    <t>Hempstone</t>
  </si>
  <si>
    <t>Z-17.25-1299</t>
  </si>
  <si>
    <t>Type II</t>
  </si>
  <si>
    <t>Schönthaler Bausteinwerk GmbH</t>
  </si>
  <si>
    <t>39020 Oris (BZ)</t>
  </si>
  <si>
    <t>HKZ 335</t>
  </si>
  <si>
    <t xml:space="preserve">Infill masonry made of hemp stones </t>
  </si>
  <si>
    <t xml:space="preserve">Hemp-lime composite </t>
  </si>
  <si>
    <t>8x50x20</t>
  </si>
  <si>
    <t>Yes</t>
  </si>
  <si>
    <t>No</t>
  </si>
  <si>
    <t>Mechanical dismantling: Crushing and Sieving for Recycling</t>
  </si>
  <si>
    <t>Reused on the construction site for applications requiring increased density, such as floor material</t>
  </si>
  <si>
    <t>Composting and soil improvement; Disposal via incineration</t>
  </si>
  <si>
    <t>https://www.bau-epd.at/epd/data/schoenthaler-bausteinwerk-gmbh-hanfsteine-ecoinvent-2025</t>
  </si>
  <si>
    <t>&lt;500</t>
  </si>
  <si>
    <t>—</t>
  </si>
  <si>
    <t>Not classified as hazardous</t>
  </si>
  <si>
    <t>B (Very limited contribution to fire)</t>
  </si>
  <si>
    <t>s1 (Little or no smoke)</t>
  </si>
  <si>
    <t>d0 (No flaming droplets or particles)</t>
  </si>
  <si>
    <t>B-s1; d0</t>
  </si>
  <si>
    <t>breathable, vapor-permeable coatings, including lime-based plaster and natural mineral paints</t>
  </si>
  <si>
    <t>Natural Beige #D8C9A6</t>
  </si>
  <si>
    <t>Mild, earthy, lime-fresh scent</t>
  </si>
  <si>
    <t>Porous, fibrous, and dry to the touch</t>
  </si>
  <si>
    <t>Feels thermally neutral or slightly warm</t>
  </si>
  <si>
    <t>Varied</t>
  </si>
  <si>
    <t>High</t>
  </si>
  <si>
    <t>Regional</t>
  </si>
  <si>
    <t>Non-toxic, breathable, natural aesthetics, supports psychological well-being.</t>
  </si>
  <si>
    <t>Unit</t>
  </si>
  <si>
    <t>Range</t>
  </si>
  <si>
    <t>Source</t>
  </si>
  <si>
    <t>Technical data sheet 06/2025</t>
  </si>
  <si>
    <t>ID</t>
  </si>
  <si>
    <t>German general type approval</t>
  </si>
  <si>
    <t>GUID</t>
  </si>
  <si>
    <t>Type I (Ingredients); Type II (Modular); Type III (Sub-Components)</t>
  </si>
  <si>
    <t>Waterman materials passport framework 2023</t>
  </si>
  <si>
    <t>No.</t>
  </si>
  <si>
    <t xml:space="preserve"> HKZ 335 - HKZ 360</t>
  </si>
  <si>
    <t>Assigned</t>
  </si>
  <si>
    <t>Hemp-clay; Hemp-cement; Hemp-biopolymer; Hemp-MgO</t>
  </si>
  <si>
    <t>Technical data sheet 06/2025 (Range by Steyn et al., 2025; Barbhuiya &amp; Bhusan, 2022)</t>
  </si>
  <si>
    <t>cm</t>
  </si>
  <si>
    <t>6x22x11; 8x50x20; 12x55x20; 15x50x20; 20x55x20; 24x55x20; 38x55x20; 44x55x20</t>
  </si>
  <si>
    <t>Technical data sheet 2017</t>
  </si>
  <si>
    <t>mm</t>
  </si>
  <si>
    <t>200 - 300</t>
  </si>
  <si>
    <t>BIM parameter (Range by standard masonry formats)</t>
  </si>
  <si>
    <t>100 - 250</t>
  </si>
  <si>
    <t>300 - 600</t>
  </si>
  <si>
    <t>0.006 - 0.036</t>
  </si>
  <si>
    <t>kg/m³</t>
  </si>
  <si>
    <t>310-360</t>
  </si>
  <si>
    <t>EPD 2025</t>
  </si>
  <si>
    <t>390-450</t>
  </si>
  <si>
    <t>Kg</t>
  </si>
  <si>
    <t>6.00 - 15.00</t>
  </si>
  <si>
    <t>Mpa</t>
  </si>
  <si>
    <t>0.06-0.8</t>
  </si>
  <si>
    <t>Technical data sheet 06/2025 (Range by Steyn et al., 2025; Asghari &amp; Memari, 2024)</t>
  </si>
  <si>
    <t>0.08-0.15</t>
  </si>
  <si>
    <t>Hempblock brochure (Range by Steyn et al., 2025; Brzyski et al., 2020)</t>
  </si>
  <si>
    <t>μ</t>
  </si>
  <si>
    <t>4.9 - 5.7</t>
  </si>
  <si>
    <t>Technical data sheet 06/2025 (Range by Brzyski et al., 2020)</t>
  </si>
  <si>
    <t>12.2 - 12.4</t>
  </si>
  <si>
    <t>d[g/m²vh]</t>
  </si>
  <si>
    <t>Yes/No</t>
  </si>
  <si>
    <t>Report for KBOB list</t>
  </si>
  <si>
    <t>Score</t>
  </si>
  <si>
    <t>1 (Yes) - 0 (No)</t>
  </si>
  <si>
    <t>Range Atta et al. 2021</t>
  </si>
  <si>
    <t>0.0-1.0</t>
  </si>
  <si>
    <t>%</t>
  </si>
  <si>
    <t>1-100%</t>
  </si>
  <si>
    <t>0-1</t>
  </si>
  <si>
    <t>1 (Dificult)- 2 (Moderate)- 3 (Easy)</t>
  </si>
  <si>
    <t xml:space="preserve">Range assigned </t>
  </si>
  <si>
    <t>Manual dismantling; Semi-Mechanical Disassembly; Thermal Disassembly; Chemical Disassembly; Demolition; Modular Disassembly</t>
  </si>
  <si>
    <t>EPD 2025 (Range by ISO 20887:2020)</t>
  </si>
  <si>
    <t>Direc reuse; Partial reuse; Reprocessing into aggregare; Soil amendment; Upcycling into thermal or acoustic insulation; Upcycling into new composites or panels; Backfilling</t>
  </si>
  <si>
    <t>EPD 2025 (Range by European Commission 2020, LEVEL(s))</t>
  </si>
  <si>
    <t>Biological recovery; Material recyclcing; Energy recovery; Landfill disposal</t>
  </si>
  <si>
    <t>EPD 2025 (Range by EN 15804:2012 +A2:2019)</t>
  </si>
  <si>
    <t xml:space="preserve">By manufacturer </t>
  </si>
  <si>
    <t>kg CO₂eq./ Block</t>
  </si>
  <si>
    <t>-6.6 - 3.8</t>
  </si>
  <si>
    <t>Calculated from EPD (Range derived from published volumetric ranges (≈ −184 to +105 kg CO₂e/m³))</t>
  </si>
  <si>
    <t>MJ</t>
  </si>
  <si>
    <t>10 - 30</t>
  </si>
  <si>
    <t>Calculated from EPD (Range corresponds to ≈ 2.5 – 3.5 MJ/kg embodied energy for densities of 300–330 kg/m3)</t>
  </si>
  <si>
    <t>8 - 25</t>
  </si>
  <si>
    <t>kg SO₂ eq.</t>
  </si>
  <si>
    <t>0.0001 - 0.0006</t>
  </si>
  <si>
    <t>Calculated from EPD (Rage based on reported values of 74–143 g SO₂ eq./m² of wall scaled to typical hempcrete block volumes)</t>
  </si>
  <si>
    <t>-2.5 - 2.0</t>
  </si>
  <si>
    <t>Calculated from EPD (Range based on based on published LCAs of hempcrete walls and prefabricated blocks in the UK, France, and Italy)</t>
  </si>
  <si>
    <t xml:space="preserve">0.2 - 0.8 </t>
  </si>
  <si>
    <t>Calculated from EPD (Range based on studies quantifying carbon sequestration through photosynthesis and lime carbonation)</t>
  </si>
  <si>
    <t>1.0 - 2.5</t>
  </si>
  <si>
    <t>Calculated from EPD (Range based on scenarios assuming incineration, composting, or partial mineralization at disposal)</t>
  </si>
  <si>
    <t>0-100</t>
  </si>
  <si>
    <t>years</t>
  </si>
  <si>
    <t>100 - 300</t>
  </si>
  <si>
    <t>Technical data sheet 06/2025 (Expected real lifespan under proper maintenance and protection: coatings, controlled RH &lt; 70%)</t>
  </si>
  <si>
    <t>km</t>
  </si>
  <si>
    <t>&lt; 100 - 500</t>
  </si>
  <si>
    <t>By manufacturer (Benchmark of regional or local soursing in some PCRs)</t>
  </si>
  <si>
    <t>Date</t>
  </si>
  <si>
    <t>Category 1- 4</t>
  </si>
  <si>
    <t>Technical data sheet 06/2025 (Range GHS)</t>
  </si>
  <si>
    <t>CTUh per block</t>
  </si>
  <si>
    <t>1.0E-7 - 5.0E-7</t>
  </si>
  <si>
    <t>EPD 2025 (Total stages A1-A5+ C1-C3+ D) (Range based on comparative LCAs and EPD datasets of hemp-lime wall systems and other bio-based materials)</t>
  </si>
  <si>
    <t>kBq U-235 eq per block</t>
  </si>
  <si>
    <t>0.01 - 0.05</t>
  </si>
  <si>
    <t>CTUe (Block)</t>
  </si>
  <si>
    <t>8 - 20</t>
  </si>
  <si>
    <t>CTUh (Block)</t>
  </si>
  <si>
    <t>1.0E-10 - 1.0E-9</t>
  </si>
  <si>
    <t>1.0E-8 - 1.0E-7</t>
  </si>
  <si>
    <t>40 - 90</t>
  </si>
  <si>
    <t>A-F (Non combustible to No performance determined)</t>
  </si>
  <si>
    <t>Technical data sheet 06/2025 (Range DIN EN 13501-1)</t>
  </si>
  <si>
    <t>s1-s3 (Little or no smoke to Hight smoke prodcution)</t>
  </si>
  <si>
    <t>d0-d2 (No to significante flaming droplets or particles)</t>
  </si>
  <si>
    <t>A1;A2-s1,d0;A2-s3,d2;B-s1,d0;B-s3,d2;C-s1,d0;C-s3,d2;D-s1,d0;D-s3,d2;E-d2;F</t>
  </si>
  <si>
    <t>lime, clay, silicate, and occasionally bio-based mineral coatings</t>
  </si>
  <si>
    <t>Technical data sheet 06/2025 (Range by Kinnane et al., 2016)</t>
  </si>
  <si>
    <t>General type approval from DIBT (German Institute for Building Technology)</t>
  </si>
  <si>
    <t>Light beige; Pale grey; Soft brown</t>
  </si>
  <si>
    <t>Direct observation (Range depends on lime content, hemp shiv hue, and curing exposure)</t>
  </si>
  <si>
    <t>Neutral; Mild earthy; Strong organic</t>
  </si>
  <si>
    <t>Direct observation (Range depends on time from initial reaction)</t>
  </si>
  <si>
    <t>Smooth; Slightly rough; Coarse fibrous</t>
  </si>
  <si>
    <t>Direct observation (Range depends on mix and compaction)</t>
  </si>
  <si>
    <t>Cold; Neutral; Warm</t>
  </si>
  <si>
    <t>Direct observation (Range depends on porosity and effusivity)</t>
  </si>
  <si>
    <t>Climate specific - Climate adaptable</t>
  </si>
  <si>
    <t>Based on climatic performance studies and traditional building experience</t>
  </si>
  <si>
    <t>Low value crop - High value crop</t>
  </si>
  <si>
    <t>Scarce - Global</t>
  </si>
  <si>
    <t>1.0 - 5.0</t>
  </si>
  <si>
    <t>Translated material properties</t>
  </si>
  <si>
    <t>Based on experiential and traditional architectural practice, user perception, and the material’s natural aesthetic and tactile qualitie</t>
  </si>
  <si>
    <t>€/Unit</t>
  </si>
  <si>
    <t>0.80-15.50</t>
  </si>
  <si>
    <t>Price list provided by manufacturer</t>
  </si>
  <si>
    <t>0.08 - 1.55</t>
  </si>
  <si>
    <t>Assumed based on on-site reuse potential and processing demand</t>
  </si>
  <si>
    <t>0.90 - 17.00</t>
  </si>
  <si>
    <t>Assumed on price minus reuse potentian</t>
  </si>
  <si>
    <t>W/(mK)</t>
  </si>
  <si>
    <t>0.05-0.22</t>
  </si>
  <si>
    <t>Technical data sheet 06/2025 (Range by Collet &amp; Pretot in Steyn et al., 2025)</t>
  </si>
  <si>
    <t>W/(m²K)</t>
  </si>
  <si>
    <t>0.15-0.76</t>
  </si>
  <si>
    <t>(J/kg.K)</t>
  </si>
  <si>
    <t>Hours</t>
  </si>
  <si>
    <t>3:09-24:30</t>
  </si>
  <si>
    <t>g/m²%HR</t>
  </si>
  <si>
    <t>0-2.5</t>
  </si>
  <si>
    <t>Mortar</t>
  </si>
  <si>
    <t>Dry interlock / bolted / screwed; Mortar / adhesive / binder-based; Cast-in-place</t>
  </si>
  <si>
    <t>https://www.hanfstein.eu/en/application/</t>
  </si>
  <si>
    <t>0.0 (easy) - 1.0 (hard)</t>
  </si>
  <si>
    <t>NA</t>
  </si>
  <si>
    <t>0.0 - 1.0</t>
  </si>
  <si>
    <t>&gt;-41</t>
  </si>
  <si>
    <t>db</t>
  </si>
  <si>
    <t>Provides insulation, stabilizes indoor temperature, reduces overheating and heat loss.</t>
  </si>
  <si>
    <t>Regulates indoor humidity, doees not prevent condensation and mold, enhances air quality.</t>
  </si>
  <si>
    <t>Good sound absorption due to porous structure, reduces noise transmission and reverberation.</t>
  </si>
  <si>
    <t xml:space="preserve">8 hempstone bricks of 8x50x20 with a 1/3 displacement with hemp-lime mortar </t>
  </si>
  <si>
    <t>€/m2</t>
  </si>
  <si>
    <t>Year</t>
  </si>
  <si>
    <t>Shared Parameter Name</t>
  </si>
  <si>
    <t>Group name</t>
  </si>
  <si>
    <t>Instance</t>
  </si>
  <si>
    <t>BIP Name</t>
  </si>
  <si>
    <t>Value</t>
  </si>
  <si>
    <t>Formula</t>
  </si>
  <si>
    <t>Revit Built-In Parameter</t>
  </si>
  <si>
    <t>IFC Standard Pset</t>
  </si>
  <si>
    <t>Custom Pset (DPP)</t>
  </si>
  <si>
    <t>Manufacturer</t>
  </si>
  <si>
    <t>Model</t>
  </si>
  <si>
    <t>Type Image</t>
  </si>
  <si>
    <t>Element GUID</t>
  </si>
  <si>
    <t>Type Mark</t>
  </si>
  <si>
    <t>Material.Name</t>
  </si>
  <si>
    <t>Dry Density</t>
  </si>
  <si>
    <t>Compressive Strenght</t>
  </si>
  <si>
    <t>Thermal Conductivity</t>
  </si>
  <si>
    <t>Equilibrium Density</t>
  </si>
  <si>
    <t>Pset_ManufacturerTypeInformation</t>
  </si>
  <si>
    <t>Pset_MaterialCommon</t>
  </si>
  <si>
    <t>Pset_DDPHempcrete</t>
  </si>
  <si>
    <t>IfcElementQuantity</t>
  </si>
  <si>
    <t>MATERIAL_ID_PARAM</t>
  </si>
  <si>
    <t>ALL_MODEL_URL</t>
  </si>
  <si>
    <t>ALL_MODEL_DESCRIPTION</t>
  </si>
  <si>
    <t>TYPE_NAME</t>
  </si>
  <si>
    <t>PHY_MATERIAL_PARAM_STRUCTURAL</t>
  </si>
  <si>
    <t>THERMAL_MATERIAL_PARAM</t>
  </si>
  <si>
    <t>ALL_MODEL_TYPE_COMMENTS</t>
  </si>
  <si>
    <t>FIRE_RATING</t>
  </si>
  <si>
    <t>ACOUSTICS_SOUND_COEFFICIENT</t>
  </si>
  <si>
    <t>COST_PARAM</t>
  </si>
  <si>
    <t>Property Type</t>
  </si>
  <si>
    <t>Identifier</t>
  </si>
  <si>
    <t>Real</t>
  </si>
  <si>
    <t>Mass</t>
  </si>
  <si>
    <t>Time</t>
  </si>
  <si>
    <t>IfcRoot</t>
  </si>
  <si>
    <t>IfcDocumentReference</t>
  </si>
  <si>
    <t>IfcMaterial</t>
  </si>
  <si>
    <t>Custom Pset</t>
  </si>
  <si>
    <t xml:space="preserve">Pset_MaterialHygroscopic </t>
  </si>
  <si>
    <t xml:space="preserve">IfcDocumentReference  </t>
  </si>
  <si>
    <t xml:space="preserve">IfcDocumentReference   </t>
  </si>
  <si>
    <t xml:space="preserve">Pset_EnvironmentalImpactIndicators   </t>
  </si>
  <si>
    <t xml:space="preserve">Pset_Maintenance </t>
  </si>
  <si>
    <t xml:space="preserve">Pset_HealthAndSafety  </t>
  </si>
  <si>
    <t xml:space="preserve">Pset_FireRating </t>
  </si>
  <si>
    <t>Pset_Coating</t>
  </si>
  <si>
    <t xml:space="preserve">Pset_AcousticMaterial    </t>
  </si>
  <si>
    <t xml:space="preserve">Pset_SurfaceProperties  </t>
  </si>
  <si>
    <t xml:space="preserve">Pset_ElementCost </t>
  </si>
  <si>
    <t>Ontology property</t>
  </si>
  <si>
    <t>URI</t>
  </si>
  <si>
    <t>PROPS:hasGlobalIdIfcRoot</t>
  </si>
  <si>
    <t>SCHEMA:label/name</t>
  </si>
  <si>
    <t>SCHEMA:image</t>
  </si>
  <si>
    <t>PROPS:hasGUID</t>
  </si>
  <si>
    <t>SCHEMA:material</t>
  </si>
  <si>
    <t>BPM:manufaturer</t>
  </si>
  <si>
    <t>SCHEMA:url</t>
  </si>
  <si>
    <t>SCHEMA:distribuitor</t>
  </si>
  <si>
    <t>SCHEMA:supplier</t>
  </si>
  <si>
    <t>SCHEMA:warranty</t>
  </si>
  <si>
    <t>SCHEMA:color</t>
  </si>
  <si>
    <t>SCHEMA:odor</t>
  </si>
  <si>
    <t>SCHEMA:texture</t>
  </si>
  <si>
    <t>PROV:wasderivedfrom</t>
  </si>
  <si>
    <t>PROV:wasGeneratedby/location</t>
  </si>
  <si>
    <t>PROV:wasAttributedTo</t>
  </si>
  <si>
    <t>SCHEMA:model</t>
  </si>
  <si>
    <t>BPM:hasMaterial</t>
  </si>
  <si>
    <t>BPM:materialcomposition</t>
  </si>
  <si>
    <t>SCHEMA:additionaltype</t>
  </si>
  <si>
    <t>QUDT:lenght/value</t>
  </si>
  <si>
    <t>QUDT:height/value</t>
  </si>
  <si>
    <t>QUDT:width/value</t>
  </si>
  <si>
    <t>QUDT:volume/value</t>
  </si>
  <si>
    <t>QUDT:weight/value</t>
  </si>
  <si>
    <t>QUDT:density/value</t>
  </si>
  <si>
    <t>PROPS:compressivestrength</t>
  </si>
  <si>
    <t>PROPS:tensilestrength</t>
  </si>
  <si>
    <t>PROPS:thermalconductivity</t>
  </si>
  <si>
    <t>DPP:moistureBuffer</t>
  </si>
  <si>
    <t>PROPS:vaporPermeability</t>
  </si>
  <si>
    <t>PROPS:phasePermeability</t>
  </si>
  <si>
    <t>PROPS:porosity</t>
  </si>
  <si>
    <t>DPP:deconstructability</t>
  </si>
  <si>
    <t>DPP:prefabrication</t>
  </si>
  <si>
    <t>DPP:recyclingPotential</t>
  </si>
  <si>
    <t>DPP:reusabilityPotential</t>
  </si>
  <si>
    <t>DPP:Reusability</t>
  </si>
  <si>
    <t>DPP:Toxicity</t>
  </si>
  <si>
    <t>DPP:recoveryScore</t>
  </si>
  <si>
    <t>DPP:dissasemblypotential</t>
  </si>
  <si>
    <t>DPP:dissasemblyinstructions</t>
  </si>
  <si>
    <t>DPP:primaryEnergyIndicator</t>
  </si>
  <si>
    <t>DPP:globalWarmingPotential</t>
  </si>
  <si>
    <t>DPP:nonRenewablePrimaryEnergy</t>
  </si>
  <si>
    <t>DPP:renewablePrimaryEnergy</t>
  </si>
  <si>
    <t>DPP:embodiedcarbon</t>
  </si>
  <si>
    <t>DPP:biogeniccarbon</t>
  </si>
  <si>
    <t>DPP:servicelife</t>
  </si>
  <si>
    <t>DPP:embodiedemissions</t>
  </si>
  <si>
    <t>DPP:circularityIndex</t>
  </si>
  <si>
    <t>DPP:environmentalscore</t>
  </si>
  <si>
    <t>DPP:manteinanceInterval</t>
  </si>
  <si>
    <t>DPP:sourcingDistance</t>
  </si>
  <si>
    <t>DPP:healthproductdeclaration</t>
  </si>
  <si>
    <t>DPP:environmentalproductdeclaration</t>
  </si>
  <si>
    <t>DPP:hazardclasification</t>
  </si>
  <si>
    <t>DPP:vocToxicity</t>
  </si>
  <si>
    <t>PROPS:firerating</t>
  </si>
  <si>
    <t>DPP:smokeResistance</t>
  </si>
  <si>
    <t>DPP:FireParticles</t>
  </si>
  <si>
    <t>BPO:surfaceFinish</t>
  </si>
  <si>
    <t>PROPS:acousticRating</t>
  </si>
  <si>
    <t xml:space="preserve">SCHEMA:comformsTo </t>
  </si>
  <si>
    <t>DPP:soundLevel</t>
  </si>
  <si>
    <t>QUDT:temperature</t>
  </si>
  <si>
    <t>..\..\werner schönthaler\hanfsteine Sch├Ânthaler Kopie.png</t>
  </si>
  <si>
    <t>Sent by Manufacturer</t>
  </si>
  <si>
    <t>https://www.hanfstein.eu/</t>
  </si>
  <si>
    <t>QR</t>
  </si>
  <si>
    <t>a1b2c3d4-e5f6-7890-1234-567890abcdef</t>
  </si>
  <si>
    <t>QR-RFID-NFC-Serial number</t>
  </si>
  <si>
    <t>Example of a QR code string</t>
  </si>
  <si>
    <t>Formulas</t>
  </si>
  <si>
    <t>(0.0000284)*Volume</t>
  </si>
  <si>
    <t>Material unit cost*0.1052</t>
  </si>
  <si>
    <t>Material unit cost-Economic circularity benefit</t>
  </si>
  <si>
    <t>(2.03)*Volume</t>
  </si>
  <si>
    <t>(1533.321)*Volume</t>
  </si>
  <si>
    <t>(7840)*Volume</t>
  </si>
  <si>
    <t>(0.00000288667)*Volume</t>
  </si>
  <si>
    <t>(0.0000000883856)*Volume</t>
  </si>
  <si>
    <t>Volume*Dry density</t>
  </si>
  <si>
    <t>ConnectionScore+PrefabricationFactor/2</t>
  </si>
  <si>
    <t>Height*Lenght*Width</t>
  </si>
  <si>
    <t>((RecyclingPotential/100)+ReusabilityPotential+(if(Toxicity,0,1))+(if(Coatings,0,1)))/4</t>
  </si>
  <si>
    <t>167.4*Volume</t>
  </si>
  <si>
    <t>2301.09*Volume</t>
  </si>
  <si>
    <t>2128.36*Volume</t>
  </si>
  <si>
    <t>218*Volume</t>
  </si>
  <si>
    <t>56.1*Volume</t>
  </si>
  <si>
    <t>222.15*Volume</t>
  </si>
  <si>
    <t>Ei*w</t>
  </si>
  <si>
    <t>Ei=1-(GWP/167.4)</t>
  </si>
  <si>
    <t>W=RecoveryScore*(1-0.5)+0.5</t>
  </si>
  <si>
    <t>(Assembly+Maintenance/(1+0.03)^30+Replacement/(1+0.003)^60) - Economic circularity benefit*(1-(1+0.03)^(-100))/0.03</t>
  </si>
  <si>
    <t>8Economic circularity benefit*100)-(Assembly+Maintenance+Replacement)</t>
  </si>
  <si>
    <t>Assembly+Maintenance/(1+0.03)^30+Replacement/(1+0.03)^60</t>
  </si>
  <si>
    <t>(Economic circularity benefit*(1-(1+0.03)^(-100))/0.03)/LCC</t>
  </si>
  <si>
    <t>if(Reusability,1,0)</t>
  </si>
  <si>
    <t>if(Prefabrication,1,0)</t>
  </si>
  <si>
    <t xml:space="preserve">Very poor to Excellent </t>
  </si>
  <si>
    <t>Material unit cost*8</t>
  </si>
  <si>
    <t>Assumed for 1m2 (8 bricks)</t>
  </si>
  <si>
    <t>NS formula application</t>
  </si>
  <si>
    <t>NPV formula application</t>
  </si>
  <si>
    <t>LCC formula application</t>
  </si>
  <si>
    <t>Benefit-cost ratio formula application</t>
  </si>
  <si>
    <t>Assumed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</si>
</sst>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0"/>
    <numFmt numFmtId="165" formatCode="0.0000"/>
    <numFmt numFmtId="166" formatCode="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b/>
      <sz val="11"/>
      <color theme="0"/>
      <name val="Times New Roman"/>
      <family val="1"/>
    </font>
    <font>
      <u/>
      <sz val="11"/>
      <color theme="1"/>
      <name val="Calibri"/>
      <family val="2"/>
      <scheme val="minor"/>
    </font>
    <font>
      <sz val="11"/>
      <color theme="1"/>
      <name val="Times New Roman"/>
    </font>
    <font>
      <u/>
      <sz val="11"/>
      <color theme="1"/>
      <name val="Times New Roman"/>
      <family val="1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1"/>
        <bgColor indexed="64"/>
      </patternFill>
    </fill>
  </fills>
  <borders count="14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58">
    <xf numFmtId="0" fontId="0" fillId="0" borderId="0" xfId="0"/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11" xfId="0" applyFont="1" applyBorder="1" applyAlignment="1">
      <alignment vertical="center" wrapText="1"/>
    </xf>
    <xf numFmtId="0" fontId="6" fillId="0" borderId="0" xfId="0" applyFont="1"/>
    <xf numFmtId="0" fontId="5" fillId="2" borderId="3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vertical="center" wrapText="1"/>
    </xf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0" fillId="0" borderId="0" xfId="0"/>
    <xf numFmtId="0" fontId="1" fillId="0" borderId="1" xfId="0" applyFont="1" applyBorder="1" applyAlignment="1">
      <alignment vertical="center" wrapText="1"/>
    </xf>
    <xf numFmtId="0" fontId="6" fillId="0" borderId="0" xfId="0" applyFont="1"/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/>
    </xf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/>
    </xf>
    <xf numFmtId="0" fontId="6" fillId="0" borderId="0" xfId="0" applyFont="1"/>
    <xf numFmtId="0" fontId="0" fillId="0" borderId="0" xfId="0"/>
    <xf numFmtId="0" fontId="1" fillId="0" borderId="1" xfId="0" applyFont="1" applyBorder="1" applyAlignment="1">
      <alignment vertical="center"/>
    </xf>
    <xf numFmtId="0" fontId="0" fillId="0" borderId="0" xfId="0"/>
    <xf numFmtId="0" fontId="1" fillId="0" borderId="1" xfId="0" applyFont="1" applyBorder="1" applyAlignment="1">
      <alignment vertical="center"/>
    </xf>
    <xf numFmtId="0" fontId="0" fillId="0" borderId="0" xfId="0"/>
    <xf numFmtId="0" fontId="1" fillId="0" borderId="3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 wrapText="1"/>
    </xf>
    <xf numFmtId="0" fontId="1" fillId="0" borderId="11" xfId="0" applyFont="1" applyBorder="1" applyAlignment="1">
      <alignment vertical="center"/>
    </xf>
    <xf numFmtId="0" fontId="1" fillId="0" borderId="9" xfId="0" applyFont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" fillId="0" borderId="12" xfId="0" applyFont="1" applyBorder="1" applyAlignment="1">
      <alignment vertical="center" wrapText="1"/>
    </xf>
    <xf numFmtId="0" fontId="1" fillId="0" borderId="4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0" fillId="0" borderId="0" xfId="0"/>
    <xf numFmtId="0" fontId="1" fillId="0" borderId="1" xfId="0" applyFont="1" applyBorder="1" applyAlignment="1">
      <alignment vertical="center"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4" fillId="0" borderId="1" xfId="1" applyBorder="1" applyAlignment="1">
      <alignment horizontal="left" vertical="center" wrapText="1"/>
    </xf>
    <xf numFmtId="2" fontId="1" fillId="0" borderId="1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11" fontId="1" fillId="0" borderId="1" xfId="0" applyNumberFormat="1" applyFont="1" applyBorder="1" applyAlignment="1">
      <alignment horizontal="left" vertical="center" wrapText="1"/>
    </xf>
    <xf numFmtId="1" fontId="1" fillId="0" borderId="1" xfId="0" applyNumberFormat="1" applyFont="1" applyBorder="1" applyAlignment="1">
      <alignment horizontal="left" vertical="center" wrapText="1"/>
    </xf>
    <xf numFmtId="164" fontId="1" fillId="0" borderId="1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11" fontId="1" fillId="0" borderId="1" xfId="0" applyNumberFormat="1" applyFont="1" applyBorder="1" applyAlignment="1">
      <alignment horizontal="left" vertical="center" wrapText="1"/>
    </xf>
    <xf numFmtId="165" fontId="1" fillId="0" borderId="1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2" fontId="1" fillId="0" borderId="1" xfId="0" applyNumberFormat="1" applyFont="1" applyBorder="1" applyAlignment="1">
      <alignment horizontal="left" vertical="center" wrapText="1"/>
    </xf>
    <xf numFmtId="11" fontId="1" fillId="0" borderId="1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20" fontId="1" fillId="0" borderId="1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166" fontId="1" fillId="0" borderId="1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horizontal="left" vertical="center" wrapText="1"/>
    </xf>
    <xf numFmtId="17" fontId="1" fillId="0" borderId="1" xfId="0" applyNumberFormat="1" applyFont="1" applyBorder="1" applyAlignment="1">
      <alignment horizontal="center" vertical="center" wrapText="1"/>
    </xf>
    <xf numFmtId="0" fontId="1" fillId="0" borderId="1" xfId="0" quotePrefix="1" applyFont="1" applyBorder="1" applyAlignment="1">
      <alignment horizontal="center" vertical="center" wrapText="1"/>
    </xf>
    <xf numFmtId="11" fontId="1" fillId="0" borderId="1" xfId="0" applyNumberFormat="1" applyFont="1" applyBorder="1" applyAlignment="1">
      <alignment horizontal="center" vertical="center" wrapText="1"/>
    </xf>
    <xf numFmtId="17" fontId="1" fillId="0" borderId="1" xfId="0" quotePrefix="1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20" fontId="1" fillId="0" borderId="1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4" fillId="0" borderId="1" xfId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16" fontId="1" fillId="0" borderId="1" xfId="0" applyNumberFormat="1" applyFont="1" applyBorder="1" applyAlignment="1">
      <alignment horizontal="center" vertical="center" wrapText="1"/>
    </xf>
    <xf numFmtId="166" fontId="1" fillId="0" borderId="1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2" fontId="1" fillId="0" borderId="1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1" fontId="1" fillId="0" borderId="1" xfId="0" applyNumberFormat="1" applyFont="1" applyBorder="1" applyAlignment="1">
      <alignment horizontal="left" vertical="center" wrapText="1"/>
    </xf>
    <xf numFmtId="2" fontId="1" fillId="0" borderId="1" xfId="0" applyNumberFormat="1" applyFont="1" applyBorder="1" applyAlignment="1">
      <alignment horizontal="left" vertical="center" wrapText="1"/>
    </xf>
    <xf numFmtId="49" fontId="9" fillId="3" borderId="0" xfId="0" applyNumberFormat="1" applyFont="1" applyFill="1"/>
    <xf numFmtId="49" fontId="9" fillId="3" borderId="0" xfId="0" applyNumberFormat="1" applyFont="1" applyFill="1" applyAlignment="1">
      <alignment wrapText="1"/>
    </xf>
    <xf numFmtId="0" fontId="0" fillId="0" borderId="0" xfId="0" applyAlignment="1"/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5" fillId="2" borderId="13" xfId="0" applyFont="1" applyFill="1" applyBorder="1" applyAlignment="1">
      <alignment horizontal="center" vertical="center" wrapText="1"/>
    </xf>
    <xf numFmtId="2" fontId="1" fillId="0" borderId="1" xfId="0" applyNumberFormat="1" applyFont="1" applyBorder="1" applyAlignment="1">
      <alignment vertical="center" wrapText="1"/>
    </xf>
    <xf numFmtId="0" fontId="6" fillId="0" borderId="0" xfId="0" applyFont="1" applyAlignment="1"/>
  </cellXfs>
  <cellStyles count="2">
    <cellStyle name="Hipervínculo" xfId="1" builtinId="8"/>
    <cellStyle name="Normal" xfId="0" builtinId="0"/>
  </cellStyles>
  <dxfs count="25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border outline="0">
        <top style="medium">
          <color indexed="64"/>
        </top>
      </border>
    </dxf>
    <dxf>
      <alignment horizontal="general" vertical="bottom" textRotation="0" wrapText="1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left" vertical="center" textRotation="0" wrapText="0" indent="0" justifyLastLine="0" shrinkToFit="0" readingOrder="0"/>
      <border diagonalUp="0" diagonalDown="0">
        <left/>
        <right/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left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left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numFmt numFmtId="0" formatCode="General"/>
      <alignment horizontal="general" vertical="center" textRotation="0" wrapText="1" indent="0" justifyLastLine="0" shrinkToFit="0" readingOrder="0"/>
      <border diagonalUp="0" diagonalDown="0">
        <left/>
        <right style="medium">
          <color indexed="64"/>
        </right>
        <top style="thin">
          <color theme="1"/>
        </top>
        <bottom style="medium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/>
        <right/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general" vertical="center" textRotation="0" wrapText="1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id="2" name="Categories" displayName="Categories" ref="B1:G117" totalsRowShown="0" headerRowDxfId="24" dataDxfId="22" headerRowBorderDxfId="23" tableBorderDxfId="21">
  <autoFilter ref="B1:G117"/>
  <tableColumns count="6">
    <tableColumn id="1" name="Parameter" dataDxfId="20"/>
    <tableColumn id="2" name="Description" dataDxfId="19"/>
    <tableColumn id="3" name="Data Source" dataDxfId="18"/>
    <tableColumn id="4" name="Data Type" dataDxfId="17"/>
    <tableColumn id="5" name="Material" dataDxfId="16"/>
    <tableColumn id="6" name="Element" dataDxfId="15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id="3" name="SharedParams" displayName="SharedParams" ref="A1:D117" totalsRowShown="0" headerRowDxfId="14" headerRowBorderDxfId="13" tableBorderDxfId="12">
  <autoFilter ref="A1:D117"/>
  <tableColumns count="4">
    <tableColumn id="1" name="Parameter" dataDxfId="11">
      <calculatedColumnFormula>INDEX(Categories[Parameter],ROW(B1))</calculatedColumnFormula>
    </tableColumn>
    <tableColumn id="2" name="Name" dataDxfId="10"/>
    <tableColumn id="3" name="Group" dataDxfId="9"/>
    <tableColumn id="4" name="Data Type" dataDxfId="8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id="4" name="BIPgroups" displayName="BIPgroups" ref="A1:E1048576" totalsRowShown="0" headerRowDxfId="7" dataDxfId="5" headerRowBorderDxfId="6" tableBorderDxfId="4">
  <autoFilter ref="A1:E1048576"/>
  <tableColumns count="5">
    <tableColumn id="1" name="Group parameter Under Names" dataDxfId="3"/>
    <tableColumn id="2" name="Revit API name" dataDxfId="2"/>
    <tableColumn id="3" name="BP Group" dataDxfId="1"/>
    <tableColumn id="4" name="Type" dataDxfId="0"/>
    <tableColumn id="5" name="Definition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..\..\werner%20sch&#246;nthaler\hanfsteine%20Sch&#9500;&#194;nthaler%20Kopie.png" TargetMode="External"/><Relationship Id="rId2" Type="http://schemas.openxmlformats.org/officeDocument/2006/relationships/hyperlink" Target="https://www.hanfstein.eu/en/application/" TargetMode="External"/><Relationship Id="rId1" Type="http://schemas.openxmlformats.org/officeDocument/2006/relationships/hyperlink" Target="https://www.bau-epd.at/epd/data/schoenthaler-bausteinwerk-gmbh-hanfsteine-ecoinvent-2025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www.hanfstein.eu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7"/>
  <sheetViews>
    <sheetView workbookViewId="0">
      <selection activeCell="I65" sqref="I65"/>
    </sheetView>
  </sheetViews>
  <sheetFormatPr baseColWidth="10" defaultRowHeight="14.4" outlineLevelRow="1" x14ac:dyDescent="0.3"/>
  <cols>
    <col min="1" max="2" width="23.21875" customWidth="1"/>
    <col min="3" max="3" width="23" customWidth="1"/>
    <col min="4" max="4" width="23.33203125" customWidth="1"/>
    <col min="5" max="5" width="11.77734375" customWidth="1"/>
    <col min="7" max="7" width="11.5546875" style="1"/>
  </cols>
  <sheetData>
    <row r="1" spans="1:10" ht="15" thickBot="1" x14ac:dyDescent="0.35">
      <c r="A1" s="6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36</v>
      </c>
      <c r="G1" s="11" t="s">
        <v>229</v>
      </c>
    </row>
    <row r="2" spans="1:10" ht="28.2" outlineLevel="1" thickBot="1" x14ac:dyDescent="0.35">
      <c r="A2" s="151" t="s">
        <v>6</v>
      </c>
      <c r="B2" s="7" t="s">
        <v>7</v>
      </c>
      <c r="C2" s="2" t="s">
        <v>8</v>
      </c>
      <c r="D2" s="2" t="s">
        <v>9</v>
      </c>
      <c r="E2" s="2" t="s">
        <v>10</v>
      </c>
      <c r="F2" s="4" t="s">
        <v>5</v>
      </c>
      <c r="G2" s="10" t="s">
        <v>5</v>
      </c>
    </row>
    <row r="3" spans="1:10" ht="28.2" outlineLevel="1" thickBot="1" x14ac:dyDescent="0.35">
      <c r="A3" s="152"/>
      <c r="B3" s="2" t="s">
        <v>11</v>
      </c>
      <c r="C3" s="2" t="s">
        <v>12</v>
      </c>
      <c r="D3" s="2" t="s">
        <v>13</v>
      </c>
      <c r="E3" s="2" t="s">
        <v>14</v>
      </c>
      <c r="F3" s="4" t="s">
        <v>5</v>
      </c>
      <c r="G3" s="10" t="s">
        <v>5</v>
      </c>
    </row>
    <row r="4" spans="1:10" s="22" customFormat="1" ht="28.2" outlineLevel="1" thickBot="1" x14ac:dyDescent="0.35">
      <c r="A4" s="152"/>
      <c r="B4" s="18" t="s">
        <v>363</v>
      </c>
      <c r="C4" s="18" t="s">
        <v>367</v>
      </c>
      <c r="D4" s="30" t="s">
        <v>9</v>
      </c>
      <c r="E4" s="18" t="s">
        <v>236</v>
      </c>
      <c r="F4" s="19" t="s">
        <v>5</v>
      </c>
      <c r="G4" s="20"/>
    </row>
    <row r="5" spans="1:10" ht="28.2" outlineLevel="1" thickBot="1" x14ac:dyDescent="0.35">
      <c r="A5" s="152"/>
      <c r="B5" s="2" t="s">
        <v>15</v>
      </c>
      <c r="C5" s="2" t="s">
        <v>16</v>
      </c>
      <c r="D5" s="2" t="s">
        <v>17</v>
      </c>
      <c r="E5" s="2" t="s">
        <v>14</v>
      </c>
      <c r="F5" s="4" t="s">
        <v>5</v>
      </c>
      <c r="G5" s="10" t="s">
        <v>5</v>
      </c>
    </row>
    <row r="6" spans="1:10" ht="28.2" outlineLevel="1" thickBot="1" x14ac:dyDescent="0.35">
      <c r="A6" s="152"/>
      <c r="B6" s="2" t="s">
        <v>18</v>
      </c>
      <c r="C6" s="2" t="s">
        <v>19</v>
      </c>
      <c r="D6" s="2" t="s">
        <v>17</v>
      </c>
      <c r="E6" s="2" t="s">
        <v>10</v>
      </c>
      <c r="F6" s="4" t="s">
        <v>5</v>
      </c>
      <c r="G6" s="10" t="s">
        <v>5</v>
      </c>
    </row>
    <row r="7" spans="1:10" ht="28.2" outlineLevel="1" thickBot="1" x14ac:dyDescent="0.35">
      <c r="A7" s="152"/>
      <c r="B7" s="2" t="s">
        <v>20</v>
      </c>
      <c r="C7" s="2" t="s">
        <v>21</v>
      </c>
      <c r="D7" s="2" t="s">
        <v>9</v>
      </c>
      <c r="E7" s="2" t="s">
        <v>10</v>
      </c>
      <c r="F7" s="4" t="s">
        <v>5</v>
      </c>
      <c r="G7" s="10" t="s">
        <v>5</v>
      </c>
    </row>
    <row r="8" spans="1:10" s="22" customFormat="1" ht="28.2" outlineLevel="1" thickBot="1" x14ac:dyDescent="0.35">
      <c r="A8" s="152"/>
      <c r="B8" s="26" t="s">
        <v>364</v>
      </c>
      <c r="C8" s="18" t="s">
        <v>368</v>
      </c>
      <c r="D8" s="30" t="s">
        <v>9</v>
      </c>
      <c r="E8" s="18" t="s">
        <v>14</v>
      </c>
      <c r="F8" s="19" t="s">
        <v>5</v>
      </c>
      <c r="G8" s="20" t="s">
        <v>5</v>
      </c>
    </row>
    <row r="9" spans="1:10" ht="28.2" outlineLevel="1" thickBot="1" x14ac:dyDescent="0.35">
      <c r="A9" s="152"/>
      <c r="B9" s="2" t="s">
        <v>22</v>
      </c>
      <c r="C9" s="2" t="s">
        <v>23</v>
      </c>
      <c r="D9" s="2" t="s">
        <v>9</v>
      </c>
      <c r="E9" s="2" t="s">
        <v>10</v>
      </c>
      <c r="F9" s="4" t="s">
        <v>5</v>
      </c>
      <c r="G9" s="10"/>
      <c r="J9" s="16"/>
    </row>
    <row r="10" spans="1:10" s="25" customFormat="1" ht="15" outlineLevel="1" thickBot="1" x14ac:dyDescent="0.35">
      <c r="A10" s="152"/>
      <c r="B10" s="29" t="s">
        <v>365</v>
      </c>
      <c r="C10" s="18" t="s">
        <v>369</v>
      </c>
      <c r="D10" s="30" t="s">
        <v>371</v>
      </c>
      <c r="E10" s="18" t="s">
        <v>14</v>
      </c>
      <c r="F10" s="19" t="s">
        <v>5</v>
      </c>
      <c r="G10" s="20"/>
      <c r="J10" s="27"/>
    </row>
    <row r="11" spans="1:10" ht="28.2" outlineLevel="1" thickBot="1" x14ac:dyDescent="0.35">
      <c r="A11" s="152"/>
      <c r="B11" s="2" t="s">
        <v>24</v>
      </c>
      <c r="C11" s="2" t="s">
        <v>25</v>
      </c>
      <c r="D11" s="2" t="s">
        <v>9</v>
      </c>
      <c r="E11" s="2" t="s">
        <v>10</v>
      </c>
      <c r="F11" s="4" t="s">
        <v>5</v>
      </c>
      <c r="G11" s="10"/>
    </row>
    <row r="12" spans="1:10" s="28" customFormat="1" ht="15" outlineLevel="1" thickBot="1" x14ac:dyDescent="0.35">
      <c r="A12" s="152"/>
      <c r="B12" s="30" t="s">
        <v>366</v>
      </c>
      <c r="C12" s="18" t="s">
        <v>370</v>
      </c>
      <c r="D12" s="30" t="s">
        <v>372</v>
      </c>
      <c r="E12" s="18" t="s">
        <v>14</v>
      </c>
      <c r="F12" s="19" t="s">
        <v>5</v>
      </c>
      <c r="G12" s="20"/>
    </row>
    <row r="13" spans="1:10" ht="28.2" outlineLevel="1" thickBot="1" x14ac:dyDescent="0.35">
      <c r="A13" s="152"/>
      <c r="B13" s="2" t="s">
        <v>26</v>
      </c>
      <c r="C13" s="2" t="s">
        <v>27</v>
      </c>
      <c r="D13" s="2" t="s">
        <v>9</v>
      </c>
      <c r="E13" s="2" t="s">
        <v>10</v>
      </c>
      <c r="F13" s="4" t="s">
        <v>5</v>
      </c>
      <c r="G13" s="10"/>
    </row>
    <row r="14" spans="1:10" ht="42" outlineLevel="1" thickBot="1" x14ac:dyDescent="0.35">
      <c r="A14" s="152"/>
      <c r="B14" s="2" t="s">
        <v>28</v>
      </c>
      <c r="C14" s="2" t="s">
        <v>29</v>
      </c>
      <c r="D14" s="2" t="s">
        <v>9</v>
      </c>
      <c r="E14" s="2" t="s">
        <v>14</v>
      </c>
      <c r="F14" s="4" t="s">
        <v>5</v>
      </c>
      <c r="G14" s="10" t="s">
        <v>5</v>
      </c>
    </row>
    <row r="15" spans="1:10" ht="28.2" outlineLevel="1" thickBot="1" x14ac:dyDescent="0.35">
      <c r="A15" s="152"/>
      <c r="B15" s="2" t="s">
        <v>30</v>
      </c>
      <c r="C15" s="2" t="s">
        <v>31</v>
      </c>
      <c r="D15" s="2" t="s">
        <v>9</v>
      </c>
      <c r="E15" s="2" t="s">
        <v>10</v>
      </c>
      <c r="F15" s="4" t="s">
        <v>5</v>
      </c>
      <c r="G15" s="10" t="s">
        <v>5</v>
      </c>
    </row>
    <row r="16" spans="1:10" ht="15" outlineLevel="1" thickBot="1" x14ac:dyDescent="0.35">
      <c r="A16" s="153"/>
      <c r="B16" s="2" t="s">
        <v>32</v>
      </c>
      <c r="C16" s="2" t="s">
        <v>33</v>
      </c>
      <c r="D16" s="2" t="s">
        <v>34</v>
      </c>
      <c r="E16" s="2" t="s">
        <v>14</v>
      </c>
      <c r="F16" s="4" t="s">
        <v>5</v>
      </c>
      <c r="G16" s="10" t="s">
        <v>5</v>
      </c>
    </row>
    <row r="17" spans="1:7" ht="28.2" outlineLevel="1" thickBot="1" x14ac:dyDescent="0.35">
      <c r="A17" s="151" t="s">
        <v>35</v>
      </c>
      <c r="B17" s="2" t="s">
        <v>36</v>
      </c>
      <c r="C17" s="2" t="s">
        <v>37</v>
      </c>
      <c r="D17" s="2" t="s">
        <v>9</v>
      </c>
      <c r="E17" s="2" t="s">
        <v>10</v>
      </c>
      <c r="F17" s="4" t="s">
        <v>5</v>
      </c>
      <c r="G17" s="10"/>
    </row>
    <row r="18" spans="1:7" ht="28.2" outlineLevel="1" thickBot="1" x14ac:dyDescent="0.35">
      <c r="A18" s="152"/>
      <c r="B18" s="2" t="s">
        <v>38</v>
      </c>
      <c r="C18" s="2" t="s">
        <v>39</v>
      </c>
      <c r="D18" s="2" t="s">
        <v>9</v>
      </c>
      <c r="E18" s="2" t="s">
        <v>10</v>
      </c>
      <c r="F18" s="4"/>
      <c r="G18" s="10" t="s">
        <v>5</v>
      </c>
    </row>
    <row r="19" spans="1:7" ht="28.2" outlineLevel="1" thickBot="1" x14ac:dyDescent="0.35">
      <c r="A19" s="152"/>
      <c r="B19" s="2" t="s">
        <v>40</v>
      </c>
      <c r="C19" s="2" t="s">
        <v>41</v>
      </c>
      <c r="D19" s="2" t="s">
        <v>9</v>
      </c>
      <c r="E19" s="2" t="s">
        <v>10</v>
      </c>
      <c r="F19" s="4" t="s">
        <v>5</v>
      </c>
      <c r="G19" s="10" t="s">
        <v>5</v>
      </c>
    </row>
    <row r="20" spans="1:7" ht="28.2" outlineLevel="1" thickBot="1" x14ac:dyDescent="0.35">
      <c r="A20" s="152"/>
      <c r="B20" s="2" t="s">
        <v>42</v>
      </c>
      <c r="C20" s="2" t="s">
        <v>43</v>
      </c>
      <c r="D20" s="2" t="s">
        <v>9</v>
      </c>
      <c r="E20" s="2" t="s">
        <v>10</v>
      </c>
      <c r="F20" s="4" t="s">
        <v>5</v>
      </c>
      <c r="G20" s="10" t="s">
        <v>5</v>
      </c>
    </row>
    <row r="21" spans="1:7" ht="28.2" outlineLevel="1" thickBot="1" x14ac:dyDescent="0.35">
      <c r="A21" s="152"/>
      <c r="B21" s="8" t="s">
        <v>44</v>
      </c>
      <c r="C21" s="2" t="s">
        <v>45</v>
      </c>
      <c r="D21" s="2" t="s">
        <v>17</v>
      </c>
      <c r="E21" s="2" t="s">
        <v>46</v>
      </c>
      <c r="F21" s="4" t="s">
        <v>5</v>
      </c>
      <c r="G21" s="10" t="s">
        <v>5</v>
      </c>
    </row>
    <row r="22" spans="1:7" ht="28.2" outlineLevel="1" thickBot="1" x14ac:dyDescent="0.35">
      <c r="A22" s="152"/>
      <c r="B22" s="8" t="s">
        <v>47</v>
      </c>
      <c r="C22" s="2" t="s">
        <v>48</v>
      </c>
      <c r="D22" s="2" t="s">
        <v>17</v>
      </c>
      <c r="E22" s="2" t="s">
        <v>46</v>
      </c>
      <c r="F22" s="4" t="s">
        <v>5</v>
      </c>
      <c r="G22" s="10" t="s">
        <v>5</v>
      </c>
    </row>
    <row r="23" spans="1:7" ht="28.2" outlineLevel="1" thickBot="1" x14ac:dyDescent="0.35">
      <c r="A23" s="152"/>
      <c r="B23" s="8" t="s">
        <v>49</v>
      </c>
      <c r="C23" s="7" t="s">
        <v>50</v>
      </c>
      <c r="D23" s="7" t="s">
        <v>17</v>
      </c>
      <c r="E23" s="7" t="s">
        <v>46</v>
      </c>
      <c r="F23" s="9" t="s">
        <v>5</v>
      </c>
      <c r="G23" s="10" t="s">
        <v>5</v>
      </c>
    </row>
    <row r="24" spans="1:7" ht="28.2" outlineLevel="1" thickBot="1" x14ac:dyDescent="0.35">
      <c r="A24" s="152"/>
      <c r="B24" s="7" t="s">
        <v>51</v>
      </c>
      <c r="C24" s="2" t="s">
        <v>52</v>
      </c>
      <c r="D24" s="2" t="s">
        <v>9</v>
      </c>
      <c r="E24" s="2" t="s">
        <v>46</v>
      </c>
      <c r="F24" s="4" t="s">
        <v>5</v>
      </c>
      <c r="G24" s="10" t="s">
        <v>5</v>
      </c>
    </row>
    <row r="25" spans="1:7" ht="42" outlineLevel="1" thickBot="1" x14ac:dyDescent="0.35">
      <c r="A25" s="152"/>
      <c r="B25" s="7" t="s">
        <v>53</v>
      </c>
      <c r="C25" s="2" t="s">
        <v>54</v>
      </c>
      <c r="D25" s="2" t="s">
        <v>9</v>
      </c>
      <c r="E25" s="2" t="s">
        <v>46</v>
      </c>
      <c r="F25" s="4" t="s">
        <v>5</v>
      </c>
      <c r="G25" s="10" t="s">
        <v>5</v>
      </c>
    </row>
    <row r="26" spans="1:7" ht="42" outlineLevel="1" thickBot="1" x14ac:dyDescent="0.35">
      <c r="A26" s="152"/>
      <c r="B26" s="2" t="s">
        <v>55</v>
      </c>
      <c r="C26" s="2" t="s">
        <v>56</v>
      </c>
      <c r="D26" s="2" t="s">
        <v>9</v>
      </c>
      <c r="E26" s="2" t="s">
        <v>46</v>
      </c>
      <c r="F26" s="4" t="s">
        <v>5</v>
      </c>
      <c r="G26" s="10" t="s">
        <v>5</v>
      </c>
    </row>
    <row r="27" spans="1:7" ht="28.2" outlineLevel="1" thickBot="1" x14ac:dyDescent="0.35">
      <c r="A27" s="152"/>
      <c r="B27" s="2" t="s">
        <v>57</v>
      </c>
      <c r="C27" s="2" t="s">
        <v>58</v>
      </c>
      <c r="D27" s="2" t="s">
        <v>9</v>
      </c>
      <c r="E27" s="2" t="s">
        <v>46</v>
      </c>
      <c r="F27" s="4" t="s">
        <v>5</v>
      </c>
      <c r="G27" s="10" t="s">
        <v>5</v>
      </c>
    </row>
    <row r="28" spans="1:7" ht="28.2" outlineLevel="1" thickBot="1" x14ac:dyDescent="0.35">
      <c r="A28" s="152"/>
      <c r="B28" s="2" t="s">
        <v>59</v>
      </c>
      <c r="C28" s="2" t="s">
        <v>60</v>
      </c>
      <c r="D28" s="2" t="s">
        <v>61</v>
      </c>
      <c r="E28" s="2" t="s">
        <v>46</v>
      </c>
      <c r="F28" s="4" t="s">
        <v>5</v>
      </c>
      <c r="G28" s="10" t="s">
        <v>5</v>
      </c>
    </row>
    <row r="29" spans="1:7" ht="15" outlineLevel="1" thickBot="1" x14ac:dyDescent="0.35">
      <c r="A29" s="152"/>
      <c r="B29" s="8" t="s">
        <v>62</v>
      </c>
      <c r="C29" s="2" t="s">
        <v>63</v>
      </c>
      <c r="D29" s="2" t="s">
        <v>61</v>
      </c>
      <c r="E29" s="2" t="s">
        <v>46</v>
      </c>
      <c r="F29" s="4" t="s">
        <v>5</v>
      </c>
      <c r="G29" s="10" t="s">
        <v>5</v>
      </c>
    </row>
    <row r="30" spans="1:7" ht="15" outlineLevel="1" thickBot="1" x14ac:dyDescent="0.35">
      <c r="A30" s="152"/>
      <c r="B30" s="2" t="s">
        <v>64</v>
      </c>
      <c r="C30" s="2" t="s">
        <v>65</v>
      </c>
      <c r="D30" s="2" t="s">
        <v>61</v>
      </c>
      <c r="E30" s="2" t="s">
        <v>46</v>
      </c>
      <c r="F30" s="4"/>
      <c r="G30" s="10" t="s">
        <v>5</v>
      </c>
    </row>
    <row r="31" spans="1:7" ht="15" outlineLevel="1" thickBot="1" x14ac:dyDescent="0.35">
      <c r="A31" s="152"/>
      <c r="B31" s="8" t="s">
        <v>66</v>
      </c>
      <c r="C31" s="2" t="s">
        <v>67</v>
      </c>
      <c r="D31" s="2" t="s">
        <v>61</v>
      </c>
      <c r="E31" s="2" t="s">
        <v>46</v>
      </c>
      <c r="F31" s="4"/>
      <c r="G31" s="10" t="s">
        <v>5</v>
      </c>
    </row>
    <row r="32" spans="1:7" ht="28.2" outlineLevel="1" thickBot="1" x14ac:dyDescent="0.35">
      <c r="A32" s="152"/>
      <c r="B32" s="8" t="s">
        <v>68</v>
      </c>
      <c r="C32" s="2" t="s">
        <v>69</v>
      </c>
      <c r="D32" s="2" t="s">
        <v>61</v>
      </c>
      <c r="E32" s="2" t="s">
        <v>46</v>
      </c>
      <c r="F32" s="4"/>
      <c r="G32" s="10" t="s">
        <v>5</v>
      </c>
    </row>
    <row r="33" spans="1:7" ht="28.2" outlineLevel="1" thickBot="1" x14ac:dyDescent="0.35">
      <c r="A33" s="152"/>
      <c r="B33" s="2" t="s">
        <v>70</v>
      </c>
      <c r="C33" s="2" t="s">
        <v>71</v>
      </c>
      <c r="D33" s="2" t="s">
        <v>61</v>
      </c>
      <c r="E33" s="2" t="s">
        <v>46</v>
      </c>
      <c r="F33" s="4"/>
      <c r="G33" s="10" t="s">
        <v>5</v>
      </c>
    </row>
    <row r="34" spans="1:7" ht="42" outlineLevel="1" thickBot="1" x14ac:dyDescent="0.35">
      <c r="A34" s="152"/>
      <c r="B34" s="2" t="s">
        <v>72</v>
      </c>
      <c r="C34" s="2" t="s">
        <v>73</v>
      </c>
      <c r="D34" s="2" t="s">
        <v>61</v>
      </c>
      <c r="E34" s="2" t="s">
        <v>46</v>
      </c>
      <c r="F34" s="4"/>
      <c r="G34" s="10" t="s">
        <v>5</v>
      </c>
    </row>
    <row r="35" spans="1:7" ht="28.2" outlineLevel="1" thickBot="1" x14ac:dyDescent="0.35">
      <c r="A35" s="152"/>
      <c r="B35" s="2" t="s">
        <v>74</v>
      </c>
      <c r="C35" s="2" t="s">
        <v>75</v>
      </c>
      <c r="D35" s="2" t="s">
        <v>61</v>
      </c>
      <c r="E35" s="2" t="s">
        <v>46</v>
      </c>
      <c r="F35" s="4" t="s">
        <v>5</v>
      </c>
      <c r="G35" s="10" t="s">
        <v>5</v>
      </c>
    </row>
    <row r="36" spans="1:7" ht="28.2" outlineLevel="1" thickBot="1" x14ac:dyDescent="0.35">
      <c r="A36" s="152"/>
      <c r="B36" s="2" t="s">
        <v>76</v>
      </c>
      <c r="C36" s="2" t="s">
        <v>75</v>
      </c>
      <c r="D36" s="2" t="s">
        <v>61</v>
      </c>
      <c r="E36" s="2" t="s">
        <v>46</v>
      </c>
      <c r="F36" s="4" t="s">
        <v>5</v>
      </c>
      <c r="G36" s="10" t="s">
        <v>5</v>
      </c>
    </row>
    <row r="37" spans="1:7" ht="28.2" outlineLevel="1" thickBot="1" x14ac:dyDescent="0.35">
      <c r="A37" s="152"/>
      <c r="B37" s="2" t="s">
        <v>77</v>
      </c>
      <c r="C37" s="2" t="s">
        <v>78</v>
      </c>
      <c r="D37" s="2" t="s">
        <v>61</v>
      </c>
      <c r="E37" s="2" t="s">
        <v>46</v>
      </c>
      <c r="F37" s="4" t="s">
        <v>5</v>
      </c>
      <c r="G37" s="10" t="s">
        <v>5</v>
      </c>
    </row>
    <row r="38" spans="1:7" ht="28.2" outlineLevel="1" thickBot="1" x14ac:dyDescent="0.35">
      <c r="A38" s="152"/>
      <c r="B38" s="2" t="s">
        <v>79</v>
      </c>
      <c r="C38" s="2" t="s">
        <v>80</v>
      </c>
      <c r="D38" s="2" t="s">
        <v>13</v>
      </c>
      <c r="E38" s="2" t="s">
        <v>81</v>
      </c>
      <c r="F38" s="4" t="s">
        <v>5</v>
      </c>
      <c r="G38" s="10" t="s">
        <v>5</v>
      </c>
    </row>
    <row r="39" spans="1:7" ht="69.599999999999994" outlineLevel="1" thickBot="1" x14ac:dyDescent="0.35">
      <c r="A39" s="151" t="s">
        <v>82</v>
      </c>
      <c r="B39" s="2" t="s">
        <v>83</v>
      </c>
      <c r="C39" s="2" t="s">
        <v>84</v>
      </c>
      <c r="D39" s="2" t="s">
        <v>9</v>
      </c>
      <c r="E39" s="2" t="s">
        <v>10</v>
      </c>
      <c r="F39" s="4"/>
      <c r="G39" s="10" t="s">
        <v>5</v>
      </c>
    </row>
    <row r="40" spans="1:7" ht="28.2" outlineLevel="1" thickBot="1" x14ac:dyDescent="0.35">
      <c r="A40" s="152"/>
      <c r="B40" s="2" t="s">
        <v>85</v>
      </c>
      <c r="C40" s="2" t="s">
        <v>86</v>
      </c>
      <c r="D40" s="2" t="s">
        <v>34</v>
      </c>
      <c r="E40" s="2" t="s">
        <v>46</v>
      </c>
      <c r="F40" s="4"/>
      <c r="G40" s="10" t="s">
        <v>5</v>
      </c>
    </row>
    <row r="41" spans="1:7" ht="28.2" outlineLevel="1" thickBot="1" x14ac:dyDescent="0.35">
      <c r="A41" s="152"/>
      <c r="B41" s="2" t="s">
        <v>87</v>
      </c>
      <c r="C41" s="2" t="s">
        <v>88</v>
      </c>
      <c r="D41" s="2" t="s">
        <v>9</v>
      </c>
      <c r="E41" s="2" t="s">
        <v>81</v>
      </c>
      <c r="F41" s="4" t="s">
        <v>5</v>
      </c>
      <c r="G41" s="10" t="s">
        <v>5</v>
      </c>
    </row>
    <row r="42" spans="1:7" ht="28.2" outlineLevel="1" thickBot="1" x14ac:dyDescent="0.35">
      <c r="A42" s="152"/>
      <c r="B42" s="7" t="s">
        <v>89</v>
      </c>
      <c r="C42" s="2" t="s">
        <v>90</v>
      </c>
      <c r="D42" s="2" t="s">
        <v>34</v>
      </c>
      <c r="E42" s="2" t="s">
        <v>46</v>
      </c>
      <c r="F42" s="4" t="s">
        <v>5</v>
      </c>
      <c r="G42" s="10" t="s">
        <v>5</v>
      </c>
    </row>
    <row r="43" spans="1:7" ht="42" outlineLevel="1" thickBot="1" x14ac:dyDescent="0.35">
      <c r="A43" s="152"/>
      <c r="B43" s="8" t="s">
        <v>91</v>
      </c>
      <c r="C43" s="2" t="s">
        <v>92</v>
      </c>
      <c r="D43" s="2" t="s">
        <v>93</v>
      </c>
      <c r="E43" s="2" t="s">
        <v>46</v>
      </c>
      <c r="F43" s="4" t="s">
        <v>5</v>
      </c>
      <c r="G43" s="10" t="s">
        <v>5</v>
      </c>
    </row>
    <row r="44" spans="1:7" ht="28.2" outlineLevel="1" thickBot="1" x14ac:dyDescent="0.35">
      <c r="A44" s="152"/>
      <c r="B44" s="2" t="s">
        <v>94</v>
      </c>
      <c r="C44" s="2" t="s">
        <v>95</v>
      </c>
      <c r="D44" s="2" t="s">
        <v>9</v>
      </c>
      <c r="E44" s="2" t="s">
        <v>46</v>
      </c>
      <c r="F44" s="4" t="s">
        <v>5</v>
      </c>
      <c r="G44" s="10" t="s">
        <v>5</v>
      </c>
    </row>
    <row r="45" spans="1:7" ht="28.2" outlineLevel="1" thickBot="1" x14ac:dyDescent="0.35">
      <c r="A45" s="152"/>
      <c r="B45" s="2" t="s">
        <v>96</v>
      </c>
      <c r="C45" s="2" t="s">
        <v>97</v>
      </c>
      <c r="D45" s="2" t="s">
        <v>9</v>
      </c>
      <c r="E45" s="2" t="s">
        <v>81</v>
      </c>
      <c r="F45" s="4" t="s">
        <v>5</v>
      </c>
      <c r="G45" s="10" t="s">
        <v>5</v>
      </c>
    </row>
    <row r="46" spans="1:7" ht="28.2" outlineLevel="1" thickBot="1" x14ac:dyDescent="0.35">
      <c r="A46" s="152"/>
      <c r="B46" s="2" t="s">
        <v>98</v>
      </c>
      <c r="C46" s="2" t="s">
        <v>99</v>
      </c>
      <c r="D46" s="2" t="s">
        <v>9</v>
      </c>
      <c r="E46" s="2" t="s">
        <v>46</v>
      </c>
      <c r="F46" s="4" t="s">
        <v>5</v>
      </c>
      <c r="G46" s="10" t="s">
        <v>5</v>
      </c>
    </row>
    <row r="47" spans="1:7" ht="55.8" outlineLevel="1" thickBot="1" x14ac:dyDescent="0.35">
      <c r="A47" s="152"/>
      <c r="B47" s="2" t="s">
        <v>100</v>
      </c>
      <c r="C47" s="2" t="s">
        <v>101</v>
      </c>
      <c r="D47" s="2" t="s">
        <v>93</v>
      </c>
      <c r="E47" s="2" t="s">
        <v>46</v>
      </c>
      <c r="F47" s="4" t="s">
        <v>5</v>
      </c>
      <c r="G47" s="10" t="s">
        <v>5</v>
      </c>
    </row>
    <row r="48" spans="1:7" ht="28.2" outlineLevel="1" thickBot="1" x14ac:dyDescent="0.35">
      <c r="A48" s="152"/>
      <c r="B48" s="2" t="s">
        <v>102</v>
      </c>
      <c r="C48" s="2" t="s">
        <v>103</v>
      </c>
      <c r="D48" s="2" t="s">
        <v>34</v>
      </c>
      <c r="E48" s="2" t="s">
        <v>46</v>
      </c>
      <c r="F48" s="4" t="s">
        <v>5</v>
      </c>
      <c r="G48" s="10" t="s">
        <v>5</v>
      </c>
    </row>
    <row r="49" spans="1:12" ht="28.2" outlineLevel="1" thickBot="1" x14ac:dyDescent="0.35">
      <c r="A49" s="152"/>
      <c r="B49" s="7" t="s">
        <v>104</v>
      </c>
      <c r="C49" s="2" t="s">
        <v>105</v>
      </c>
      <c r="D49" s="2" t="s">
        <v>9</v>
      </c>
      <c r="E49" s="2" t="s">
        <v>10</v>
      </c>
      <c r="F49" s="4" t="s">
        <v>5</v>
      </c>
      <c r="G49" s="10" t="s">
        <v>5</v>
      </c>
    </row>
    <row r="50" spans="1:12" ht="28.2" outlineLevel="1" thickBot="1" x14ac:dyDescent="0.35">
      <c r="A50" s="152"/>
      <c r="B50" s="7" t="s">
        <v>106</v>
      </c>
      <c r="C50" s="7" t="s">
        <v>107</v>
      </c>
      <c r="D50" s="7" t="s">
        <v>9</v>
      </c>
      <c r="E50" s="7" t="s">
        <v>10</v>
      </c>
      <c r="F50" s="9" t="s">
        <v>5</v>
      </c>
      <c r="G50" s="10" t="s">
        <v>5</v>
      </c>
    </row>
    <row r="51" spans="1:12" ht="28.2" outlineLevel="1" thickBot="1" x14ac:dyDescent="0.35">
      <c r="A51" s="153"/>
      <c r="B51" s="2" t="s">
        <v>108</v>
      </c>
      <c r="C51" s="2" t="s">
        <v>109</v>
      </c>
      <c r="D51" s="2" t="s">
        <v>9</v>
      </c>
      <c r="E51" s="2" t="s">
        <v>10</v>
      </c>
      <c r="F51" s="4" t="s">
        <v>5</v>
      </c>
      <c r="G51" s="10" t="s">
        <v>5</v>
      </c>
    </row>
    <row r="52" spans="1:12" ht="42" outlineLevel="1" thickBot="1" x14ac:dyDescent="0.35">
      <c r="A52" s="151" t="s">
        <v>110</v>
      </c>
      <c r="B52" s="2" t="s">
        <v>111</v>
      </c>
      <c r="C52" s="2" t="s">
        <v>112</v>
      </c>
      <c r="D52" s="2" t="s">
        <v>9</v>
      </c>
      <c r="E52" s="2" t="s">
        <v>81</v>
      </c>
      <c r="F52" s="4" t="s">
        <v>5</v>
      </c>
      <c r="G52" s="10" t="s">
        <v>5</v>
      </c>
    </row>
    <row r="53" spans="1:12" ht="28.2" outlineLevel="1" thickBot="1" x14ac:dyDescent="0.35">
      <c r="A53" s="152"/>
      <c r="B53" s="2" t="s">
        <v>113</v>
      </c>
      <c r="C53" s="2" t="s">
        <v>114</v>
      </c>
      <c r="D53" s="2" t="s">
        <v>9</v>
      </c>
      <c r="E53" s="2" t="s">
        <v>115</v>
      </c>
      <c r="F53" s="4" t="s">
        <v>5</v>
      </c>
      <c r="G53" s="10" t="s">
        <v>5</v>
      </c>
    </row>
    <row r="54" spans="1:12" ht="28.2" outlineLevel="1" thickBot="1" x14ac:dyDescent="0.35">
      <c r="A54" s="152"/>
      <c r="B54" s="2" t="s">
        <v>116</v>
      </c>
      <c r="C54" s="2" t="s">
        <v>117</v>
      </c>
      <c r="D54" s="2" t="s">
        <v>118</v>
      </c>
      <c r="E54" s="2" t="s">
        <v>46</v>
      </c>
      <c r="F54" s="4" t="s">
        <v>5</v>
      </c>
      <c r="G54" s="10" t="s">
        <v>5</v>
      </c>
    </row>
    <row r="55" spans="1:12" s="32" customFormat="1" ht="42" outlineLevel="1" thickBot="1" x14ac:dyDescent="0.35">
      <c r="A55" s="152"/>
      <c r="B55" s="18" t="s">
        <v>373</v>
      </c>
      <c r="C55" s="18" t="s">
        <v>376</v>
      </c>
      <c r="D55" s="33" t="s">
        <v>118</v>
      </c>
      <c r="E55" s="33" t="s">
        <v>46</v>
      </c>
      <c r="F55" s="19" t="s">
        <v>5</v>
      </c>
      <c r="G55" s="20" t="s">
        <v>5</v>
      </c>
    </row>
    <row r="56" spans="1:12" ht="42" outlineLevel="1" thickBot="1" x14ac:dyDescent="0.35">
      <c r="A56" s="152"/>
      <c r="B56" s="2" t="s">
        <v>374</v>
      </c>
      <c r="C56" s="2" t="s">
        <v>119</v>
      </c>
      <c r="D56" s="2" t="s">
        <v>118</v>
      </c>
      <c r="E56" s="2" t="s">
        <v>46</v>
      </c>
      <c r="F56" s="4" t="s">
        <v>5</v>
      </c>
      <c r="G56" s="10" t="s">
        <v>5</v>
      </c>
    </row>
    <row r="57" spans="1:12" ht="55.8" outlineLevel="1" thickBot="1" x14ac:dyDescent="0.35">
      <c r="A57" s="152"/>
      <c r="B57" s="2" t="s">
        <v>375</v>
      </c>
      <c r="C57" s="2" t="s">
        <v>120</v>
      </c>
      <c r="D57" s="2" t="s">
        <v>118</v>
      </c>
      <c r="E57" s="2" t="s">
        <v>46</v>
      </c>
      <c r="F57" s="4" t="s">
        <v>5</v>
      </c>
      <c r="G57" s="10" t="s">
        <v>5</v>
      </c>
    </row>
    <row r="58" spans="1:12" ht="28.2" outlineLevel="1" thickBot="1" x14ac:dyDescent="0.35">
      <c r="A58" s="152"/>
      <c r="B58" s="7" t="s">
        <v>121</v>
      </c>
      <c r="C58" s="7" t="s">
        <v>122</v>
      </c>
      <c r="D58" s="7" t="s">
        <v>118</v>
      </c>
      <c r="E58" s="7" t="s">
        <v>46</v>
      </c>
      <c r="F58" s="9" t="s">
        <v>5</v>
      </c>
      <c r="G58" s="10" t="s">
        <v>5</v>
      </c>
    </row>
    <row r="59" spans="1:12" ht="28.2" outlineLevel="1" thickBot="1" x14ac:dyDescent="0.35">
      <c r="A59" s="152"/>
      <c r="B59" s="2" t="s">
        <v>123</v>
      </c>
      <c r="C59" s="2" t="s">
        <v>124</v>
      </c>
      <c r="D59" s="2" t="s">
        <v>118</v>
      </c>
      <c r="E59" s="2" t="s">
        <v>46</v>
      </c>
      <c r="F59" s="4" t="s">
        <v>5</v>
      </c>
      <c r="G59" s="10" t="s">
        <v>5</v>
      </c>
    </row>
    <row r="60" spans="1:12" ht="28.2" outlineLevel="1" thickBot="1" x14ac:dyDescent="0.35">
      <c r="A60" s="152"/>
      <c r="B60" s="2" t="s">
        <v>125</v>
      </c>
      <c r="C60" s="2" t="s">
        <v>126</v>
      </c>
      <c r="D60" s="2" t="s">
        <v>118</v>
      </c>
      <c r="E60" s="2" t="s">
        <v>46</v>
      </c>
      <c r="F60" s="4" t="s">
        <v>5</v>
      </c>
      <c r="G60" s="10" t="s">
        <v>5</v>
      </c>
      <c r="L60" s="35"/>
    </row>
    <row r="61" spans="1:12" ht="55.8" outlineLevel="1" thickBot="1" x14ac:dyDescent="0.35">
      <c r="A61" s="152"/>
      <c r="B61" s="2" t="s">
        <v>127</v>
      </c>
      <c r="C61" s="2" t="s">
        <v>128</v>
      </c>
      <c r="D61" s="2" t="s">
        <v>118</v>
      </c>
      <c r="E61" s="2" t="s">
        <v>46</v>
      </c>
      <c r="F61" s="4" t="s">
        <v>5</v>
      </c>
      <c r="G61" s="10" t="s">
        <v>5</v>
      </c>
    </row>
    <row r="62" spans="1:12" ht="42" outlineLevel="1" thickBot="1" x14ac:dyDescent="0.35">
      <c r="A62" s="152"/>
      <c r="B62" s="2" t="s">
        <v>129</v>
      </c>
      <c r="C62" s="2" t="s">
        <v>130</v>
      </c>
      <c r="D62" s="2" t="s">
        <v>93</v>
      </c>
      <c r="E62" s="2" t="s">
        <v>46</v>
      </c>
      <c r="F62" s="4" t="s">
        <v>5</v>
      </c>
      <c r="G62" s="10" t="s">
        <v>5</v>
      </c>
    </row>
    <row r="63" spans="1:12" ht="42" outlineLevel="1" thickBot="1" x14ac:dyDescent="0.35">
      <c r="A63" s="152"/>
      <c r="B63" s="2" t="s">
        <v>131</v>
      </c>
      <c r="C63" s="2" t="s">
        <v>132</v>
      </c>
      <c r="D63" s="2" t="s">
        <v>93</v>
      </c>
      <c r="E63" s="2" t="s">
        <v>46</v>
      </c>
      <c r="F63" s="4" t="s">
        <v>5</v>
      </c>
      <c r="G63" s="10" t="s">
        <v>5</v>
      </c>
    </row>
    <row r="64" spans="1:12" ht="28.2" outlineLevel="1" thickBot="1" x14ac:dyDescent="0.35">
      <c r="A64" s="152"/>
      <c r="B64" s="2" t="s">
        <v>133</v>
      </c>
      <c r="C64" s="2" t="s">
        <v>134</v>
      </c>
      <c r="D64" s="2" t="s">
        <v>93</v>
      </c>
      <c r="E64" s="2" t="s">
        <v>46</v>
      </c>
      <c r="F64" s="4" t="s">
        <v>5</v>
      </c>
      <c r="G64" s="10" t="s">
        <v>5</v>
      </c>
    </row>
    <row r="65" spans="1:7" ht="28.2" outlineLevel="1" thickBot="1" x14ac:dyDescent="0.35">
      <c r="A65" s="153"/>
      <c r="B65" s="2" t="s">
        <v>135</v>
      </c>
      <c r="C65" s="2" t="s">
        <v>136</v>
      </c>
      <c r="D65" s="2" t="s">
        <v>93</v>
      </c>
      <c r="E65" s="2" t="s">
        <v>46</v>
      </c>
      <c r="F65" s="4" t="s">
        <v>5</v>
      </c>
      <c r="G65" s="10" t="s">
        <v>5</v>
      </c>
    </row>
    <row r="66" spans="1:7" ht="28.2" outlineLevel="1" thickBot="1" x14ac:dyDescent="0.35">
      <c r="A66" s="151" t="s">
        <v>137</v>
      </c>
      <c r="B66" s="7" t="s">
        <v>138</v>
      </c>
      <c r="C66" s="7" t="s">
        <v>139</v>
      </c>
      <c r="D66" s="7" t="s">
        <v>9</v>
      </c>
      <c r="E66" s="7" t="s">
        <v>46</v>
      </c>
      <c r="F66" s="9" t="s">
        <v>5</v>
      </c>
      <c r="G66" s="10" t="s">
        <v>5</v>
      </c>
    </row>
    <row r="67" spans="1:7" ht="28.2" outlineLevel="1" thickBot="1" x14ac:dyDescent="0.35">
      <c r="A67" s="152"/>
      <c r="B67" s="7" t="s">
        <v>140</v>
      </c>
      <c r="C67" s="2" t="s">
        <v>141</v>
      </c>
      <c r="D67" s="2" t="s">
        <v>9</v>
      </c>
      <c r="E67" s="2" t="s">
        <v>10</v>
      </c>
      <c r="F67" s="4" t="s">
        <v>5</v>
      </c>
      <c r="G67" s="10"/>
    </row>
    <row r="68" spans="1:7" ht="28.2" outlineLevel="1" thickBot="1" x14ac:dyDescent="0.35">
      <c r="A68" s="152"/>
      <c r="B68" s="2" t="s">
        <v>142</v>
      </c>
      <c r="C68" s="2" t="s">
        <v>143</v>
      </c>
      <c r="D68" s="2" t="s">
        <v>9</v>
      </c>
      <c r="E68" s="2" t="s">
        <v>46</v>
      </c>
      <c r="F68" s="4" t="s">
        <v>5</v>
      </c>
      <c r="G68" s="10" t="s">
        <v>5</v>
      </c>
    </row>
    <row r="69" spans="1:7" ht="28.2" outlineLevel="1" thickBot="1" x14ac:dyDescent="0.35">
      <c r="A69" s="152"/>
      <c r="B69" s="2" t="s">
        <v>144</v>
      </c>
      <c r="C69" s="2" t="s">
        <v>145</v>
      </c>
      <c r="D69" s="2" t="s">
        <v>9</v>
      </c>
      <c r="E69" s="2" t="s">
        <v>10</v>
      </c>
      <c r="F69" s="4" t="s">
        <v>5</v>
      </c>
      <c r="G69" s="10" t="s">
        <v>5</v>
      </c>
    </row>
    <row r="70" spans="1:7" ht="28.2" outlineLevel="1" thickBot="1" x14ac:dyDescent="0.35">
      <c r="A70" s="152"/>
      <c r="B70" s="2" t="s">
        <v>146</v>
      </c>
      <c r="C70" s="2" t="s">
        <v>147</v>
      </c>
      <c r="D70" s="2" t="s">
        <v>9</v>
      </c>
      <c r="E70" s="2" t="s">
        <v>46</v>
      </c>
      <c r="F70" s="4" t="s">
        <v>5</v>
      </c>
      <c r="G70" s="10" t="s">
        <v>5</v>
      </c>
    </row>
    <row r="71" spans="1:7" ht="28.2" outlineLevel="1" thickBot="1" x14ac:dyDescent="0.35">
      <c r="A71" s="152"/>
      <c r="B71" s="2" t="s">
        <v>148</v>
      </c>
      <c r="C71" s="2" t="s">
        <v>149</v>
      </c>
      <c r="D71" s="2" t="s">
        <v>150</v>
      </c>
      <c r="E71" s="2" t="s">
        <v>151</v>
      </c>
      <c r="F71" s="4" t="s">
        <v>5</v>
      </c>
      <c r="G71" s="10" t="s">
        <v>5</v>
      </c>
    </row>
    <row r="72" spans="1:7" ht="42" outlineLevel="1" thickBot="1" x14ac:dyDescent="0.35">
      <c r="A72" s="151" t="s">
        <v>152</v>
      </c>
      <c r="B72" s="2" t="s">
        <v>153</v>
      </c>
      <c r="C72" s="2" t="s">
        <v>112</v>
      </c>
      <c r="D72" s="2" t="s">
        <v>9</v>
      </c>
      <c r="E72" s="2" t="s">
        <v>81</v>
      </c>
      <c r="F72" s="4" t="s">
        <v>5</v>
      </c>
      <c r="G72" s="10" t="s">
        <v>5</v>
      </c>
    </row>
    <row r="73" spans="1:7" ht="28.2" outlineLevel="1" thickBot="1" x14ac:dyDescent="0.35">
      <c r="A73" s="152"/>
      <c r="B73" s="7" t="s">
        <v>154</v>
      </c>
      <c r="C73" s="2" t="s">
        <v>114</v>
      </c>
      <c r="D73" s="2" t="s">
        <v>9</v>
      </c>
      <c r="E73" s="2" t="s">
        <v>115</v>
      </c>
      <c r="F73" s="4" t="s">
        <v>5</v>
      </c>
      <c r="G73" s="10" t="s">
        <v>5</v>
      </c>
    </row>
    <row r="74" spans="1:7" ht="28.2" outlineLevel="1" thickBot="1" x14ac:dyDescent="0.35">
      <c r="A74" s="152"/>
      <c r="B74" s="7" t="s">
        <v>155</v>
      </c>
      <c r="C74" s="2" t="s">
        <v>156</v>
      </c>
      <c r="D74" s="2" t="s">
        <v>9</v>
      </c>
      <c r="E74" s="2" t="s">
        <v>10</v>
      </c>
      <c r="F74" s="4" t="s">
        <v>5</v>
      </c>
      <c r="G74" s="10" t="s">
        <v>5</v>
      </c>
    </row>
    <row r="75" spans="1:7" ht="42" outlineLevel="1" thickBot="1" x14ac:dyDescent="0.35">
      <c r="A75" s="152"/>
      <c r="B75" s="2" t="s">
        <v>157</v>
      </c>
      <c r="C75" s="2" t="s">
        <v>158</v>
      </c>
      <c r="D75" s="2" t="s">
        <v>9</v>
      </c>
      <c r="E75" s="2" t="s">
        <v>46</v>
      </c>
      <c r="F75" s="4" t="s">
        <v>5</v>
      </c>
      <c r="G75" s="10" t="s">
        <v>5</v>
      </c>
    </row>
    <row r="76" spans="1:7" ht="28.2" outlineLevel="1" thickBot="1" x14ac:dyDescent="0.35">
      <c r="A76" s="152"/>
      <c r="B76" s="2" t="s">
        <v>159</v>
      </c>
      <c r="C76" s="2" t="s">
        <v>160</v>
      </c>
      <c r="D76" s="2" t="s">
        <v>9</v>
      </c>
      <c r="E76" s="2" t="s">
        <v>46</v>
      </c>
      <c r="F76" s="4" t="s">
        <v>5</v>
      </c>
      <c r="G76" s="10" t="s">
        <v>5</v>
      </c>
    </row>
    <row r="77" spans="1:7" ht="28.2" outlineLevel="1" thickBot="1" x14ac:dyDescent="0.35">
      <c r="A77" s="152"/>
      <c r="B77" s="2" t="s">
        <v>161</v>
      </c>
      <c r="C77" s="2" t="s">
        <v>162</v>
      </c>
      <c r="D77" s="2" t="s">
        <v>9</v>
      </c>
      <c r="E77" s="2" t="s">
        <v>46</v>
      </c>
      <c r="F77" s="4" t="s">
        <v>5</v>
      </c>
      <c r="G77" s="10" t="s">
        <v>5</v>
      </c>
    </row>
    <row r="78" spans="1:7" ht="42" outlineLevel="1" thickBot="1" x14ac:dyDescent="0.35">
      <c r="A78" s="152"/>
      <c r="B78" s="2" t="s">
        <v>163</v>
      </c>
      <c r="C78" s="2" t="s">
        <v>164</v>
      </c>
      <c r="D78" s="2" t="s">
        <v>9</v>
      </c>
      <c r="E78" s="2" t="s">
        <v>46</v>
      </c>
      <c r="F78" s="4" t="s">
        <v>5</v>
      </c>
      <c r="G78" s="10" t="s">
        <v>5</v>
      </c>
    </row>
    <row r="79" spans="1:7" ht="42" outlineLevel="1" thickBot="1" x14ac:dyDescent="0.35">
      <c r="A79" s="152"/>
      <c r="B79" s="2" t="s">
        <v>165</v>
      </c>
      <c r="C79" s="2" t="s">
        <v>166</v>
      </c>
      <c r="D79" s="2" t="s">
        <v>9</v>
      </c>
      <c r="E79" s="2" t="s">
        <v>46</v>
      </c>
      <c r="F79" s="4" t="s">
        <v>5</v>
      </c>
      <c r="G79" s="10" t="s">
        <v>5</v>
      </c>
    </row>
    <row r="80" spans="1:7" ht="28.2" outlineLevel="1" thickBot="1" x14ac:dyDescent="0.35">
      <c r="A80" s="152"/>
      <c r="B80" s="2" t="s">
        <v>167</v>
      </c>
      <c r="C80" s="2" t="s">
        <v>168</v>
      </c>
      <c r="D80" s="2" t="s">
        <v>9</v>
      </c>
      <c r="E80" s="2" t="s">
        <v>46</v>
      </c>
      <c r="F80" s="4" t="s">
        <v>5</v>
      </c>
      <c r="G80" s="10" t="s">
        <v>5</v>
      </c>
    </row>
    <row r="81" spans="1:7" ht="28.2" outlineLevel="1" thickBot="1" x14ac:dyDescent="0.35">
      <c r="A81" s="152"/>
      <c r="B81" s="2" t="s">
        <v>169</v>
      </c>
      <c r="C81" s="2" t="s">
        <v>170</v>
      </c>
      <c r="D81" s="2" t="s">
        <v>9</v>
      </c>
      <c r="E81" s="2" t="s">
        <v>81</v>
      </c>
      <c r="F81" s="4" t="s">
        <v>5</v>
      </c>
      <c r="G81" s="10" t="s">
        <v>5</v>
      </c>
    </row>
    <row r="82" spans="1:7" ht="28.2" outlineLevel="1" thickBot="1" x14ac:dyDescent="0.35">
      <c r="A82" s="152"/>
      <c r="B82" s="2" t="s">
        <v>171</v>
      </c>
      <c r="C82" s="2" t="s">
        <v>172</v>
      </c>
      <c r="D82" s="2" t="s">
        <v>173</v>
      </c>
      <c r="E82" s="2" t="s">
        <v>10</v>
      </c>
      <c r="F82" s="4" t="s">
        <v>5</v>
      </c>
      <c r="G82" s="10" t="s">
        <v>5</v>
      </c>
    </row>
    <row r="83" spans="1:7" ht="15" outlineLevel="1" thickBot="1" x14ac:dyDescent="0.35">
      <c r="A83" s="152"/>
      <c r="B83" s="2" t="s">
        <v>174</v>
      </c>
      <c r="C83" s="2" t="s">
        <v>175</v>
      </c>
      <c r="D83" s="2" t="s">
        <v>173</v>
      </c>
      <c r="E83" s="2" t="s">
        <v>10</v>
      </c>
      <c r="F83" s="4" t="s">
        <v>5</v>
      </c>
      <c r="G83" s="10" t="s">
        <v>5</v>
      </c>
    </row>
    <row r="84" spans="1:7" ht="15" outlineLevel="1" thickBot="1" x14ac:dyDescent="0.35">
      <c r="A84" s="152"/>
      <c r="B84" s="2" t="s">
        <v>176</v>
      </c>
      <c r="C84" s="2" t="s">
        <v>177</v>
      </c>
      <c r="D84" s="2" t="s">
        <v>173</v>
      </c>
      <c r="E84" s="2" t="s">
        <v>10</v>
      </c>
      <c r="F84" s="4" t="s">
        <v>5</v>
      </c>
      <c r="G84" s="10" t="s">
        <v>5</v>
      </c>
    </row>
    <row r="85" spans="1:7" ht="28.2" outlineLevel="1" thickBot="1" x14ac:dyDescent="0.35">
      <c r="A85" s="152"/>
      <c r="B85" s="2" t="s">
        <v>178</v>
      </c>
      <c r="C85" s="2" t="s">
        <v>179</v>
      </c>
      <c r="D85" s="2" t="s">
        <v>9</v>
      </c>
      <c r="E85" s="2" t="s">
        <v>10</v>
      </c>
      <c r="F85" s="4" t="s">
        <v>5</v>
      </c>
      <c r="G85" s="10" t="s">
        <v>5</v>
      </c>
    </row>
    <row r="86" spans="1:7" ht="42" outlineLevel="1" thickBot="1" x14ac:dyDescent="0.35">
      <c r="A86" s="152"/>
      <c r="B86" s="7" t="s">
        <v>180</v>
      </c>
      <c r="C86" s="2" t="s">
        <v>181</v>
      </c>
      <c r="D86" s="2" t="s">
        <v>9</v>
      </c>
      <c r="E86" s="2" t="s">
        <v>81</v>
      </c>
      <c r="F86" s="4" t="s">
        <v>5</v>
      </c>
      <c r="G86" s="10" t="s">
        <v>5</v>
      </c>
    </row>
    <row r="87" spans="1:7" ht="28.2" outlineLevel="1" thickBot="1" x14ac:dyDescent="0.35">
      <c r="A87" s="152"/>
      <c r="B87" s="7" t="s">
        <v>182</v>
      </c>
      <c r="C87" s="2" t="s">
        <v>183</v>
      </c>
      <c r="D87" s="2" t="s">
        <v>9</v>
      </c>
      <c r="E87" s="2" t="s">
        <v>10</v>
      </c>
      <c r="F87" s="4" t="s">
        <v>5</v>
      </c>
      <c r="G87" s="10" t="s">
        <v>5</v>
      </c>
    </row>
    <row r="88" spans="1:7" ht="28.2" outlineLevel="1" thickBot="1" x14ac:dyDescent="0.35">
      <c r="A88" s="152"/>
      <c r="B88" s="7" t="s">
        <v>184</v>
      </c>
      <c r="C88" s="2" t="s">
        <v>185</v>
      </c>
      <c r="D88" s="2" t="s">
        <v>9</v>
      </c>
      <c r="E88" s="2" t="s">
        <v>10</v>
      </c>
      <c r="F88" s="4"/>
      <c r="G88" s="10" t="s">
        <v>5</v>
      </c>
    </row>
    <row r="89" spans="1:7" ht="42" outlineLevel="1" thickBot="1" x14ac:dyDescent="0.35">
      <c r="A89" s="153"/>
      <c r="B89" s="2" t="s">
        <v>186</v>
      </c>
      <c r="C89" s="2" t="s">
        <v>187</v>
      </c>
      <c r="D89" s="2" t="s">
        <v>9</v>
      </c>
      <c r="E89" s="2" t="s">
        <v>81</v>
      </c>
      <c r="F89" s="4" t="s">
        <v>5</v>
      </c>
      <c r="G89" s="10" t="s">
        <v>5</v>
      </c>
    </row>
    <row r="90" spans="1:7" ht="28.2" outlineLevel="1" thickBot="1" x14ac:dyDescent="0.35">
      <c r="A90" s="151" t="s">
        <v>188</v>
      </c>
      <c r="B90" s="3" t="s">
        <v>189</v>
      </c>
      <c r="C90" s="2" t="s">
        <v>190</v>
      </c>
      <c r="D90" s="2" t="s">
        <v>61</v>
      </c>
      <c r="E90" s="2" t="s">
        <v>46</v>
      </c>
      <c r="F90" s="4"/>
      <c r="G90" s="10" t="s">
        <v>5</v>
      </c>
    </row>
    <row r="91" spans="1:7" ht="42" outlineLevel="1" thickBot="1" x14ac:dyDescent="0.35">
      <c r="A91" s="152"/>
      <c r="B91" s="8" t="s">
        <v>191</v>
      </c>
      <c r="C91" s="2" t="s">
        <v>192</v>
      </c>
      <c r="D91" s="2" t="s">
        <v>61</v>
      </c>
      <c r="E91" s="2" t="s">
        <v>46</v>
      </c>
      <c r="F91" s="4"/>
      <c r="G91" s="10" t="s">
        <v>5</v>
      </c>
    </row>
    <row r="92" spans="1:7" s="32" customFormat="1" ht="15" outlineLevel="1" thickBot="1" x14ac:dyDescent="0.35">
      <c r="A92" s="152"/>
      <c r="B92" s="37" t="s">
        <v>382</v>
      </c>
      <c r="C92" s="33" t="s">
        <v>394</v>
      </c>
      <c r="D92" s="42" t="s">
        <v>193</v>
      </c>
      <c r="E92" s="42" t="s">
        <v>10</v>
      </c>
      <c r="F92" s="9" t="s">
        <v>5</v>
      </c>
      <c r="G92" s="10"/>
    </row>
    <row r="93" spans="1:7" s="32" customFormat="1" ht="15" outlineLevel="1" thickBot="1" x14ac:dyDescent="0.35">
      <c r="A93" s="152"/>
      <c r="B93" s="37" t="s">
        <v>383</v>
      </c>
      <c r="C93" s="33" t="s">
        <v>396</v>
      </c>
      <c r="D93" s="42" t="s">
        <v>193</v>
      </c>
      <c r="E93" s="42" t="s">
        <v>10</v>
      </c>
      <c r="F93" s="9" t="s">
        <v>5</v>
      </c>
      <c r="G93" s="10"/>
    </row>
    <row r="94" spans="1:7" s="32" customFormat="1" ht="15" outlineLevel="1" thickBot="1" x14ac:dyDescent="0.35">
      <c r="A94" s="152"/>
      <c r="B94" s="37" t="s">
        <v>384</v>
      </c>
      <c r="C94" s="33" t="s">
        <v>395</v>
      </c>
      <c r="D94" s="42" t="s">
        <v>193</v>
      </c>
      <c r="E94" s="42" t="s">
        <v>10</v>
      </c>
      <c r="F94" s="9" t="s">
        <v>5</v>
      </c>
      <c r="G94" s="10"/>
    </row>
    <row r="95" spans="1:7" ht="28.2" outlineLevel="1" thickBot="1" x14ac:dyDescent="0.35">
      <c r="A95" s="152"/>
      <c r="B95" s="37" t="s">
        <v>385</v>
      </c>
      <c r="C95" s="2" t="s">
        <v>397</v>
      </c>
      <c r="D95" s="2" t="s">
        <v>193</v>
      </c>
      <c r="E95" s="2" t="s">
        <v>10</v>
      </c>
      <c r="F95" s="4" t="s">
        <v>5</v>
      </c>
      <c r="G95" s="10"/>
    </row>
    <row r="96" spans="1:7" s="36" customFormat="1" ht="42" outlineLevel="1" thickBot="1" x14ac:dyDescent="0.35">
      <c r="A96" s="152"/>
      <c r="B96" s="39" t="s">
        <v>386</v>
      </c>
      <c r="C96" s="42" t="s">
        <v>398</v>
      </c>
      <c r="D96" s="42" t="s">
        <v>194</v>
      </c>
      <c r="E96" s="42" t="s">
        <v>199</v>
      </c>
      <c r="F96" s="9" t="s">
        <v>5</v>
      </c>
      <c r="G96" s="10"/>
    </row>
    <row r="97" spans="1:7" s="36" customFormat="1" ht="42" outlineLevel="1" thickBot="1" x14ac:dyDescent="0.35">
      <c r="A97" s="152"/>
      <c r="B97" s="39" t="s">
        <v>387</v>
      </c>
      <c r="C97" s="42" t="s">
        <v>399</v>
      </c>
      <c r="D97" s="42" t="s">
        <v>194</v>
      </c>
      <c r="E97" s="42" t="s">
        <v>199</v>
      </c>
      <c r="F97" s="9" t="s">
        <v>5</v>
      </c>
      <c r="G97" s="10"/>
    </row>
    <row r="98" spans="1:7" ht="28.2" outlineLevel="1" thickBot="1" x14ac:dyDescent="0.35">
      <c r="A98" s="152"/>
      <c r="B98" s="39" t="s">
        <v>388</v>
      </c>
      <c r="C98" s="42" t="s">
        <v>400</v>
      </c>
      <c r="D98" s="2" t="s">
        <v>194</v>
      </c>
      <c r="E98" s="42" t="s">
        <v>199</v>
      </c>
      <c r="F98" s="4" t="s">
        <v>5</v>
      </c>
      <c r="G98" s="10"/>
    </row>
    <row r="99" spans="1:7" s="38" customFormat="1" ht="42" outlineLevel="1" thickBot="1" x14ac:dyDescent="0.35">
      <c r="A99" s="152"/>
      <c r="B99" s="41" t="s">
        <v>389</v>
      </c>
      <c r="C99" s="42" t="s">
        <v>401</v>
      </c>
      <c r="D99" s="42" t="s">
        <v>195</v>
      </c>
      <c r="E99" s="42" t="s">
        <v>199</v>
      </c>
      <c r="F99" s="9" t="s">
        <v>5</v>
      </c>
      <c r="G99" s="10"/>
    </row>
    <row r="100" spans="1:7" s="38" customFormat="1" ht="42" outlineLevel="1" thickBot="1" x14ac:dyDescent="0.35">
      <c r="A100" s="152"/>
      <c r="B100" s="41" t="s">
        <v>390</v>
      </c>
      <c r="C100" s="42" t="s">
        <v>402</v>
      </c>
      <c r="D100" s="42" t="s">
        <v>195</v>
      </c>
      <c r="E100" s="42" t="s">
        <v>199</v>
      </c>
      <c r="F100" s="9" t="s">
        <v>5</v>
      </c>
      <c r="G100" s="10"/>
    </row>
    <row r="101" spans="1:7" ht="28.2" outlineLevel="1" thickBot="1" x14ac:dyDescent="0.35">
      <c r="A101" s="152"/>
      <c r="B101" s="41" t="s">
        <v>391</v>
      </c>
      <c r="C101" s="42" t="s">
        <v>403</v>
      </c>
      <c r="D101" s="2" t="s">
        <v>195</v>
      </c>
      <c r="E101" s="42" t="s">
        <v>199</v>
      </c>
      <c r="F101" s="4" t="s">
        <v>5</v>
      </c>
      <c r="G101" s="10" t="s">
        <v>5</v>
      </c>
    </row>
    <row r="102" spans="1:7" ht="42" outlineLevel="1" thickBot="1" x14ac:dyDescent="0.35">
      <c r="A102" s="152"/>
      <c r="B102" s="2" t="s">
        <v>196</v>
      </c>
      <c r="C102" s="2" t="s">
        <v>197</v>
      </c>
      <c r="D102" s="2" t="s">
        <v>198</v>
      </c>
      <c r="E102" s="2" t="s">
        <v>199</v>
      </c>
      <c r="F102" s="4"/>
      <c r="G102" s="10" t="s">
        <v>5</v>
      </c>
    </row>
    <row r="103" spans="1:7" ht="83.4" outlineLevel="1" thickBot="1" x14ac:dyDescent="0.35">
      <c r="A103" s="152"/>
      <c r="B103" s="2" t="s">
        <v>200</v>
      </c>
      <c r="C103" s="2" t="s">
        <v>201</v>
      </c>
      <c r="D103" s="2" t="s">
        <v>198</v>
      </c>
      <c r="E103" s="2" t="s">
        <v>199</v>
      </c>
      <c r="F103" s="4"/>
      <c r="G103" s="10" t="s">
        <v>5</v>
      </c>
    </row>
    <row r="104" spans="1:7" ht="28.2" outlineLevel="1" thickBot="1" x14ac:dyDescent="0.35">
      <c r="A104" s="152"/>
      <c r="B104" s="2" t="s">
        <v>202</v>
      </c>
      <c r="C104" s="2" t="s">
        <v>203</v>
      </c>
      <c r="D104" s="2" t="s">
        <v>198</v>
      </c>
      <c r="E104" s="2" t="s">
        <v>199</v>
      </c>
      <c r="F104" s="4"/>
      <c r="G104" s="10" t="s">
        <v>5</v>
      </c>
    </row>
    <row r="105" spans="1:7" ht="42" outlineLevel="1" thickBot="1" x14ac:dyDescent="0.35">
      <c r="A105" s="152"/>
      <c r="B105" s="2" t="s">
        <v>204</v>
      </c>
      <c r="C105" s="2" t="s">
        <v>205</v>
      </c>
      <c r="D105" s="2" t="s">
        <v>198</v>
      </c>
      <c r="E105" s="44" t="s">
        <v>199</v>
      </c>
      <c r="F105" s="4"/>
      <c r="G105" s="10" t="s">
        <v>5</v>
      </c>
    </row>
    <row r="106" spans="1:7" s="40" customFormat="1" ht="42" outlineLevel="1" thickBot="1" x14ac:dyDescent="0.35">
      <c r="A106" s="152"/>
      <c r="B106" s="43" t="s">
        <v>392</v>
      </c>
      <c r="C106" s="42" t="s">
        <v>404</v>
      </c>
      <c r="D106" s="42" t="s">
        <v>206</v>
      </c>
      <c r="E106" s="44" t="s">
        <v>199</v>
      </c>
      <c r="F106" s="9" t="s">
        <v>5</v>
      </c>
      <c r="G106" s="10"/>
    </row>
    <row r="107" spans="1:7" ht="42" outlineLevel="1" thickBot="1" x14ac:dyDescent="0.35">
      <c r="A107" s="153"/>
      <c r="B107" s="43" t="s">
        <v>393</v>
      </c>
      <c r="C107" s="42" t="s">
        <v>405</v>
      </c>
      <c r="D107" s="2" t="s">
        <v>206</v>
      </c>
      <c r="E107" s="44" t="s">
        <v>199</v>
      </c>
      <c r="F107" s="4" t="s">
        <v>5</v>
      </c>
      <c r="G107" s="10"/>
    </row>
    <row r="108" spans="1:7" ht="28.2" outlineLevel="1" thickBot="1" x14ac:dyDescent="0.35">
      <c r="A108" s="151" t="s">
        <v>207</v>
      </c>
      <c r="B108" s="2" t="s">
        <v>208</v>
      </c>
      <c r="C108" s="2" t="s">
        <v>209</v>
      </c>
      <c r="D108" s="2" t="s">
        <v>9</v>
      </c>
      <c r="E108" s="2" t="s">
        <v>210</v>
      </c>
      <c r="F108" s="4" t="s">
        <v>5</v>
      </c>
      <c r="G108" s="10" t="s">
        <v>5</v>
      </c>
    </row>
    <row r="109" spans="1:7" ht="42" outlineLevel="1" thickBot="1" x14ac:dyDescent="0.35">
      <c r="A109" s="152"/>
      <c r="B109" s="2" t="s">
        <v>211</v>
      </c>
      <c r="C109" s="2" t="s">
        <v>212</v>
      </c>
      <c r="D109" s="2" t="s">
        <v>9</v>
      </c>
      <c r="E109" s="2" t="s">
        <v>210</v>
      </c>
      <c r="F109" s="4"/>
      <c r="G109" s="10" t="s">
        <v>5</v>
      </c>
    </row>
    <row r="110" spans="1:7" ht="28.2" outlineLevel="1" thickBot="1" x14ac:dyDescent="0.35">
      <c r="A110" s="152"/>
      <c r="B110" s="2" t="s">
        <v>213</v>
      </c>
      <c r="C110" s="2" t="s">
        <v>214</v>
      </c>
      <c r="D110" s="2" t="s">
        <v>9</v>
      </c>
      <c r="E110" s="2" t="s">
        <v>210</v>
      </c>
      <c r="F110" s="4"/>
      <c r="G110" s="10" t="s">
        <v>5</v>
      </c>
    </row>
    <row r="111" spans="1:7" ht="28.2" outlineLevel="1" thickBot="1" x14ac:dyDescent="0.35">
      <c r="A111" s="152"/>
      <c r="B111" s="2" t="s">
        <v>215</v>
      </c>
      <c r="C111" s="2" t="s">
        <v>216</v>
      </c>
      <c r="D111" s="2" t="s">
        <v>93</v>
      </c>
      <c r="E111" s="2" t="s">
        <v>46</v>
      </c>
      <c r="F111" s="4" t="s">
        <v>5</v>
      </c>
      <c r="G111" s="10" t="s">
        <v>5</v>
      </c>
    </row>
    <row r="112" spans="1:7" ht="28.2" outlineLevel="1" thickBot="1" x14ac:dyDescent="0.35">
      <c r="A112" s="152"/>
      <c r="B112" s="2" t="s">
        <v>217</v>
      </c>
      <c r="C112" s="2" t="s">
        <v>218</v>
      </c>
      <c r="D112" s="2" t="s">
        <v>9</v>
      </c>
      <c r="E112" s="2" t="s">
        <v>210</v>
      </c>
      <c r="F112" s="4" t="s">
        <v>5</v>
      </c>
      <c r="G112" s="10" t="s">
        <v>5</v>
      </c>
    </row>
    <row r="113" spans="1:7" ht="28.2" outlineLevel="1" thickBot="1" x14ac:dyDescent="0.35">
      <c r="A113" s="152"/>
      <c r="B113" s="2" t="s">
        <v>219</v>
      </c>
      <c r="C113" s="2" t="s">
        <v>220</v>
      </c>
      <c r="D113" s="2" t="s">
        <v>93</v>
      </c>
      <c r="E113" s="2" t="s">
        <v>210</v>
      </c>
      <c r="F113" s="4"/>
      <c r="G113" s="10" t="s">
        <v>5</v>
      </c>
    </row>
    <row r="114" spans="1:7" ht="28.2" outlineLevel="1" thickBot="1" x14ac:dyDescent="0.35">
      <c r="A114" s="152"/>
      <c r="B114" s="2" t="s">
        <v>221</v>
      </c>
      <c r="C114" s="2" t="s">
        <v>222</v>
      </c>
      <c r="D114" s="2" t="s">
        <v>93</v>
      </c>
      <c r="E114" s="2" t="s">
        <v>210</v>
      </c>
      <c r="F114" s="4"/>
      <c r="G114" s="10" t="s">
        <v>5</v>
      </c>
    </row>
    <row r="115" spans="1:7" ht="28.2" outlineLevel="1" thickBot="1" x14ac:dyDescent="0.35">
      <c r="A115" s="152"/>
      <c r="B115" s="2" t="s">
        <v>223</v>
      </c>
      <c r="C115" s="2" t="s">
        <v>224</v>
      </c>
      <c r="D115" s="2" t="s">
        <v>93</v>
      </c>
      <c r="E115" s="2" t="s">
        <v>46</v>
      </c>
      <c r="F115" s="4"/>
      <c r="G115" s="10" t="s">
        <v>5</v>
      </c>
    </row>
    <row r="116" spans="1:7" ht="28.2" outlineLevel="1" thickBot="1" x14ac:dyDescent="0.35">
      <c r="A116" s="152"/>
      <c r="B116" s="2" t="s">
        <v>225</v>
      </c>
      <c r="C116" s="2" t="s">
        <v>226</v>
      </c>
      <c r="D116" s="2" t="s">
        <v>93</v>
      </c>
      <c r="E116" s="2" t="s">
        <v>46</v>
      </c>
      <c r="F116" s="4"/>
      <c r="G116" s="10" t="s">
        <v>5</v>
      </c>
    </row>
    <row r="117" spans="1:7" ht="42" outlineLevel="1" thickBot="1" x14ac:dyDescent="0.35">
      <c r="A117" s="153"/>
      <c r="B117" s="12" t="s">
        <v>227</v>
      </c>
      <c r="C117" s="12" t="s">
        <v>228</v>
      </c>
      <c r="D117" s="12" t="s">
        <v>93</v>
      </c>
      <c r="E117" s="12" t="s">
        <v>46</v>
      </c>
      <c r="F117" s="13"/>
      <c r="G117" s="14" t="s">
        <v>5</v>
      </c>
    </row>
  </sheetData>
  <mergeCells count="8">
    <mergeCell ref="A108:A117"/>
    <mergeCell ref="A72:A89"/>
    <mergeCell ref="A90:A107"/>
    <mergeCell ref="A2:A16"/>
    <mergeCell ref="A39:A51"/>
    <mergeCell ref="A52:A65"/>
    <mergeCell ref="A66:A71"/>
    <mergeCell ref="A17:A38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7"/>
  <sheetViews>
    <sheetView workbookViewId="0">
      <selection activeCell="B2" sqref="B2"/>
    </sheetView>
  </sheetViews>
  <sheetFormatPr baseColWidth="10" defaultRowHeight="14.4" x14ac:dyDescent="0.3"/>
  <cols>
    <col min="1" max="1" width="29.44140625" customWidth="1"/>
    <col min="2" max="2" width="34.77734375" customWidth="1"/>
    <col min="3" max="3" width="23.109375" customWidth="1"/>
    <col min="4" max="4" width="17.77734375" customWidth="1"/>
  </cols>
  <sheetData>
    <row r="1" spans="1:4" ht="15" thickBot="1" x14ac:dyDescent="0.35">
      <c r="A1" s="47" t="s">
        <v>1</v>
      </c>
      <c r="B1" s="48" t="s">
        <v>230</v>
      </c>
      <c r="C1" s="48" t="s">
        <v>231</v>
      </c>
      <c r="D1" s="49" t="s">
        <v>4</v>
      </c>
    </row>
    <row r="2" spans="1:4" ht="15" thickBot="1" x14ac:dyDescent="0.35">
      <c r="A2" s="15" t="str">
        <f>INDEX(Categories[Parameter],ROW(B1))</f>
        <v>Product Name</v>
      </c>
      <c r="B2" s="23" t="s">
        <v>232</v>
      </c>
      <c r="C2" s="23" t="s">
        <v>233</v>
      </c>
      <c r="D2" s="46" t="s">
        <v>10</v>
      </c>
    </row>
    <row r="3" spans="1:4" ht="15" thickBot="1" x14ac:dyDescent="0.35">
      <c r="A3" s="15" t="str">
        <f>INDEX(Categories[Parameter],ROW(B2))</f>
        <v>Product ID</v>
      </c>
      <c r="B3" s="23" t="s">
        <v>234</v>
      </c>
      <c r="C3" s="23" t="s">
        <v>233</v>
      </c>
      <c r="D3" s="46" t="s">
        <v>10</v>
      </c>
    </row>
    <row r="4" spans="1:4" ht="15" thickBot="1" x14ac:dyDescent="0.35">
      <c r="A4" s="15" t="str">
        <f>INDEX(Categories[Parameter],ROW(B3))</f>
        <v>Product Image</v>
      </c>
      <c r="B4" s="23" t="s">
        <v>235</v>
      </c>
      <c r="C4" s="23" t="s">
        <v>233</v>
      </c>
      <c r="D4" s="46" t="s">
        <v>236</v>
      </c>
    </row>
    <row r="5" spans="1:4" ht="15" thickBot="1" x14ac:dyDescent="0.35">
      <c r="A5" s="15" t="str">
        <f>INDEX(Categories[Parameter],ROW(B4))</f>
        <v>Object number</v>
      </c>
      <c r="B5" s="23" t="s">
        <v>237</v>
      </c>
      <c r="C5" s="23" t="s">
        <v>233</v>
      </c>
      <c r="D5" s="46" t="s">
        <v>10</v>
      </c>
    </row>
    <row r="6" spans="1:4" ht="15" thickBot="1" x14ac:dyDescent="0.35">
      <c r="A6" s="15" t="str">
        <f>INDEX(Categories[Parameter],ROW(B5))</f>
        <v>Material Type</v>
      </c>
      <c r="B6" s="23" t="s">
        <v>238</v>
      </c>
      <c r="C6" s="23" t="s">
        <v>233</v>
      </c>
      <c r="D6" s="46" t="s">
        <v>10</v>
      </c>
    </row>
    <row r="7" spans="1:4" ht="15" thickBot="1" x14ac:dyDescent="0.35">
      <c r="A7" s="15" t="str">
        <f>INDEX(Categories[Parameter],ROW(B6))</f>
        <v xml:space="preserve">Manufacturer </v>
      </c>
      <c r="B7" s="23" t="s">
        <v>239</v>
      </c>
      <c r="C7" s="23" t="s">
        <v>233</v>
      </c>
      <c r="D7" s="46" t="s">
        <v>10</v>
      </c>
    </row>
    <row r="8" spans="1:4" ht="15" thickBot="1" x14ac:dyDescent="0.35">
      <c r="A8" s="15" t="str">
        <f>INDEX(Categories[Parameter],ROW(B7))</f>
        <v xml:space="preserve">Link Manufacturer </v>
      </c>
      <c r="B8" s="23" t="s">
        <v>240</v>
      </c>
      <c r="C8" s="23" t="s">
        <v>233</v>
      </c>
      <c r="D8" s="46" t="s">
        <v>241</v>
      </c>
    </row>
    <row r="9" spans="1:4" ht="15" thickBot="1" x14ac:dyDescent="0.35">
      <c r="A9" s="15" t="str">
        <f>INDEX(Categories[Parameter],ROW(B8))</f>
        <v>Distributor</v>
      </c>
      <c r="B9" s="23" t="s">
        <v>242</v>
      </c>
      <c r="C9" s="23" t="s">
        <v>233</v>
      </c>
      <c r="D9" s="46" t="s">
        <v>10</v>
      </c>
    </row>
    <row r="10" spans="1:4" ht="15" thickBot="1" x14ac:dyDescent="0.35">
      <c r="A10" s="15" t="str">
        <f>INDEX(Categories[Parameter],ROW(B9))</f>
        <v>Link Distributor</v>
      </c>
      <c r="B10" s="23" t="s">
        <v>243</v>
      </c>
      <c r="C10" s="23" t="s">
        <v>233</v>
      </c>
      <c r="D10" s="46" t="s">
        <v>241</v>
      </c>
    </row>
    <row r="11" spans="1:4" ht="15" thickBot="1" x14ac:dyDescent="0.35">
      <c r="A11" s="15" t="str">
        <f>INDEX(Categories[Parameter],ROW(B10))</f>
        <v>Supplier</v>
      </c>
      <c r="B11" s="23" t="s">
        <v>244</v>
      </c>
      <c r="C11" s="23" t="s">
        <v>233</v>
      </c>
      <c r="D11" s="46" t="s">
        <v>10</v>
      </c>
    </row>
    <row r="12" spans="1:4" ht="15" thickBot="1" x14ac:dyDescent="0.35">
      <c r="A12" s="15" t="str">
        <f>INDEX(Categories[Parameter],ROW(B11))</f>
        <v>Link Supplier</v>
      </c>
      <c r="B12" s="23" t="s">
        <v>245</v>
      </c>
      <c r="C12" s="23" t="s">
        <v>233</v>
      </c>
      <c r="D12" s="46" t="s">
        <v>241</v>
      </c>
    </row>
    <row r="13" spans="1:4" ht="15" thickBot="1" x14ac:dyDescent="0.35">
      <c r="A13" s="15" t="str">
        <f>INDEX(Categories[Parameter],ROW(B12))</f>
        <v>Transportation Route</v>
      </c>
      <c r="B13" s="23" t="s">
        <v>246</v>
      </c>
      <c r="C13" s="23" t="s">
        <v>233</v>
      </c>
      <c r="D13" s="46" t="s">
        <v>247</v>
      </c>
    </row>
    <row r="14" spans="1:4" ht="15" thickBot="1" x14ac:dyDescent="0.35">
      <c r="A14" s="15" t="str">
        <f>INDEX(Categories[Parameter],ROW(B13))</f>
        <v>Traceability ID</v>
      </c>
      <c r="B14" s="23" t="s">
        <v>248</v>
      </c>
      <c r="C14" s="23" t="s">
        <v>233</v>
      </c>
      <c r="D14" s="46" t="s">
        <v>10</v>
      </c>
    </row>
    <row r="15" spans="1:4" ht="15" thickBot="1" x14ac:dyDescent="0.35">
      <c r="A15" s="15" t="str">
        <f>INDEX(Categories[Parameter],ROW(B14))</f>
        <v>Origin</v>
      </c>
      <c r="B15" s="23" t="s">
        <v>249</v>
      </c>
      <c r="C15" s="23" t="s">
        <v>233</v>
      </c>
      <c r="D15" s="46" t="s">
        <v>10</v>
      </c>
    </row>
    <row r="16" spans="1:4" ht="15" thickBot="1" x14ac:dyDescent="0.35">
      <c r="A16" s="15" t="str">
        <f>INDEX(Categories[Parameter],ROW(B15))</f>
        <v>Version number</v>
      </c>
      <c r="B16" s="23" t="s">
        <v>250</v>
      </c>
      <c r="C16" s="23" t="s">
        <v>233</v>
      </c>
      <c r="D16" s="46" t="s">
        <v>10</v>
      </c>
    </row>
    <row r="17" spans="1:4" ht="15" thickBot="1" x14ac:dyDescent="0.35">
      <c r="A17" s="15" t="str">
        <f>INDEX(Categories[Parameter],ROW(B16))</f>
        <v>Material</v>
      </c>
      <c r="B17" s="23" t="s">
        <v>251</v>
      </c>
      <c r="C17" s="23" t="s">
        <v>252</v>
      </c>
      <c r="D17" s="46" t="s">
        <v>36</v>
      </c>
    </row>
    <row r="18" spans="1:4" ht="15" thickBot="1" x14ac:dyDescent="0.35">
      <c r="A18" s="15" t="str">
        <f>INDEX(Categories[Parameter],ROW(B17))</f>
        <v>Component</v>
      </c>
      <c r="B18" s="23" t="s">
        <v>253</v>
      </c>
      <c r="C18" s="23" t="s">
        <v>252</v>
      </c>
      <c r="D18" s="46" t="s">
        <v>247</v>
      </c>
    </row>
    <row r="19" spans="1:4" ht="15" thickBot="1" x14ac:dyDescent="0.35">
      <c r="A19" s="15" t="str">
        <f>INDEX(Categories[Parameter],ROW(B18))</f>
        <v>Composition</v>
      </c>
      <c r="B19" s="23" t="s">
        <v>254</v>
      </c>
      <c r="C19" s="23" t="s">
        <v>252</v>
      </c>
      <c r="D19" s="46" t="s">
        <v>247</v>
      </c>
    </row>
    <row r="20" spans="1:4" ht="15" thickBot="1" x14ac:dyDescent="0.35">
      <c r="A20" s="15" t="str">
        <f>INDEX(Categories[Parameter],ROW(B19))</f>
        <v>Dimensions</v>
      </c>
      <c r="B20" s="23" t="s">
        <v>255</v>
      </c>
      <c r="C20" s="23" t="s">
        <v>233</v>
      </c>
      <c r="D20" s="46" t="s">
        <v>10</v>
      </c>
    </row>
    <row r="21" spans="1:4" ht="15" thickBot="1" x14ac:dyDescent="0.35">
      <c r="A21" s="15" t="str">
        <f>INDEX(Categories[Parameter],ROW(B20))</f>
        <v>Height</v>
      </c>
      <c r="B21" s="23" t="s">
        <v>256</v>
      </c>
      <c r="C21" s="23" t="s">
        <v>257</v>
      </c>
      <c r="D21" s="46" t="s">
        <v>47</v>
      </c>
    </row>
    <row r="22" spans="1:4" ht="15" thickBot="1" x14ac:dyDescent="0.35">
      <c r="A22" s="15" t="str">
        <f>INDEX(Categories[Parameter],ROW(B21))</f>
        <v>Length</v>
      </c>
      <c r="B22" s="31" t="s">
        <v>259</v>
      </c>
      <c r="C22" s="23" t="s">
        <v>257</v>
      </c>
      <c r="D22" s="46" t="s">
        <v>47</v>
      </c>
    </row>
    <row r="23" spans="1:4" ht="15" thickBot="1" x14ac:dyDescent="0.35">
      <c r="A23" s="15" t="str">
        <f>INDEX(Categories[Parameter],ROW(B22))</f>
        <v>Width</v>
      </c>
      <c r="B23" s="34" t="s">
        <v>258</v>
      </c>
      <c r="C23" s="23" t="s">
        <v>257</v>
      </c>
      <c r="D23" s="46" t="s">
        <v>47</v>
      </c>
    </row>
    <row r="24" spans="1:4" ht="15" thickBot="1" x14ac:dyDescent="0.35">
      <c r="A24" s="15" t="str">
        <f>INDEX(Categories[Parameter],ROW(B23))</f>
        <v>Volume</v>
      </c>
      <c r="B24" s="23" t="s">
        <v>260</v>
      </c>
      <c r="C24" s="23" t="s">
        <v>257</v>
      </c>
      <c r="D24" s="46" t="s">
        <v>51</v>
      </c>
    </row>
    <row r="25" spans="1:4" ht="15" thickBot="1" x14ac:dyDescent="0.35">
      <c r="A25" s="15" t="str">
        <f>INDEX(Categories[Parameter],ROW(B24))</f>
        <v>Dry density</v>
      </c>
      <c r="B25" s="23" t="s">
        <v>261</v>
      </c>
      <c r="C25" s="23" t="s">
        <v>262</v>
      </c>
      <c r="D25" s="46" t="s">
        <v>263</v>
      </c>
    </row>
    <row r="26" spans="1:4" ht="15" thickBot="1" x14ac:dyDescent="0.35">
      <c r="A26" s="15" t="str">
        <f>INDEX(Categories[Parameter],ROW(B25))</f>
        <v>Equilibrium density</v>
      </c>
      <c r="B26" s="23" t="s">
        <v>264</v>
      </c>
      <c r="C26" s="23" t="s">
        <v>262</v>
      </c>
      <c r="D26" s="46" t="s">
        <v>263</v>
      </c>
    </row>
    <row r="27" spans="1:4" ht="15" thickBot="1" x14ac:dyDescent="0.35">
      <c r="A27" s="15" t="str">
        <f>INDEX(Categories[Parameter],ROW(B26))</f>
        <v>Weight</v>
      </c>
      <c r="B27" s="23" t="s">
        <v>265</v>
      </c>
      <c r="C27" s="23" t="s">
        <v>262</v>
      </c>
      <c r="D27" s="46" t="s">
        <v>266</v>
      </c>
    </row>
    <row r="28" spans="1:4" ht="15" thickBot="1" x14ac:dyDescent="0.35">
      <c r="A28" s="15" t="str">
        <f>INDEX(Categories[Parameter],ROW(B27))</f>
        <v>Compressive strength</v>
      </c>
      <c r="B28" s="23" t="s">
        <v>267</v>
      </c>
      <c r="C28" s="23" t="s">
        <v>262</v>
      </c>
      <c r="D28" s="46" t="s">
        <v>266</v>
      </c>
    </row>
    <row r="29" spans="1:4" ht="15" thickBot="1" x14ac:dyDescent="0.35">
      <c r="A29" s="15" t="str">
        <f>INDEX(Categories[Parameter],ROW(B28))</f>
        <v>Shear strength</v>
      </c>
      <c r="B29" s="23" t="s">
        <v>268</v>
      </c>
      <c r="C29" s="23" t="s">
        <v>262</v>
      </c>
      <c r="D29" s="46" t="s">
        <v>266</v>
      </c>
    </row>
    <row r="30" spans="1:4" ht="15" thickBot="1" x14ac:dyDescent="0.35">
      <c r="A30" s="15" t="str">
        <f>INDEX(Categories[Parameter],ROW(B29))</f>
        <v>Thermal conductivity</v>
      </c>
      <c r="B30" s="23" t="s">
        <v>269</v>
      </c>
      <c r="C30" s="23" t="s">
        <v>262</v>
      </c>
      <c r="D30" s="46" t="s">
        <v>266</v>
      </c>
    </row>
    <row r="31" spans="1:4" ht="15" thickBot="1" x14ac:dyDescent="0.35">
      <c r="A31" s="15" t="str">
        <f>INDEX(Categories[Parameter],ROW(B30))</f>
        <v>Heat transfer coefficient</v>
      </c>
      <c r="B31" s="23" t="s">
        <v>270</v>
      </c>
      <c r="C31" s="23" t="s">
        <v>262</v>
      </c>
      <c r="D31" s="46" t="s">
        <v>266</v>
      </c>
    </row>
    <row r="32" spans="1:4" ht="15" thickBot="1" x14ac:dyDescent="0.35">
      <c r="A32" s="15" t="str">
        <f>INDEX(Categories[Parameter],ROW(B31))</f>
        <v>Sprecific heat capacity</v>
      </c>
      <c r="B32" s="23" t="s">
        <v>271</v>
      </c>
      <c r="C32" s="23" t="s">
        <v>262</v>
      </c>
      <c r="D32" s="46" t="s">
        <v>266</v>
      </c>
    </row>
    <row r="33" spans="1:4" ht="15" thickBot="1" x14ac:dyDescent="0.35">
      <c r="A33" s="15" t="str">
        <f>INDEX(Categories[Parameter],ROW(B32))</f>
        <v>Phase shift</v>
      </c>
      <c r="B33" s="23" t="s">
        <v>272</v>
      </c>
      <c r="C33" s="23" t="s">
        <v>262</v>
      </c>
      <c r="D33" s="46" t="s">
        <v>266</v>
      </c>
    </row>
    <row r="34" spans="1:4" ht="15" thickBot="1" x14ac:dyDescent="0.35">
      <c r="A34" s="15" t="str">
        <f>INDEX(Categories[Parameter],ROW(B33))</f>
        <v>Moisture Buffer Value</v>
      </c>
      <c r="B34" s="23" t="s">
        <v>273</v>
      </c>
      <c r="C34" s="23" t="s">
        <v>262</v>
      </c>
      <c r="D34" s="46" t="s">
        <v>266</v>
      </c>
    </row>
    <row r="35" spans="1:4" ht="28.2" thickBot="1" x14ac:dyDescent="0.35">
      <c r="A35" s="15" t="str">
        <f>INDEX(Categories[Parameter],ROW(B34))</f>
        <v>Water vapour diffusion
resistance when wet</v>
      </c>
      <c r="B35" s="23" t="s">
        <v>274</v>
      </c>
      <c r="C35" s="23" t="s">
        <v>262</v>
      </c>
      <c r="D35" s="46" t="s">
        <v>266</v>
      </c>
    </row>
    <row r="36" spans="1:4" ht="28.2" thickBot="1" x14ac:dyDescent="0.35">
      <c r="A36" s="15" t="str">
        <f>INDEX(Categories[Parameter],ROW(B35))</f>
        <v>Water vapour diffusion
resistance when dry</v>
      </c>
      <c r="B36" s="23" t="s">
        <v>275</v>
      </c>
      <c r="C36" s="23" t="s">
        <v>262</v>
      </c>
      <c r="D36" s="46" t="s">
        <v>266</v>
      </c>
    </row>
    <row r="37" spans="1:4" ht="28.2" thickBot="1" x14ac:dyDescent="0.35">
      <c r="A37" s="15" t="str">
        <f>INDEX(Categories[Parameter],ROW(B36))</f>
        <v>Water vapour absorption resistance</v>
      </c>
      <c r="B37" s="23" t="s">
        <v>276</v>
      </c>
      <c r="C37" s="23" t="s">
        <v>262</v>
      </c>
      <c r="D37" s="46" t="s">
        <v>266</v>
      </c>
    </row>
    <row r="38" spans="1:4" ht="15" thickBot="1" x14ac:dyDescent="0.35">
      <c r="A38" s="15" t="str">
        <f>INDEX(Categories[Parameter],ROW(B37))</f>
        <v>Standard compliance</v>
      </c>
      <c r="B38" s="23" t="s">
        <v>277</v>
      </c>
      <c r="C38" s="23" t="s">
        <v>262</v>
      </c>
      <c r="D38" s="46" t="s">
        <v>278</v>
      </c>
    </row>
    <row r="39" spans="1:4" ht="15" thickBot="1" x14ac:dyDescent="0.35">
      <c r="A39" s="15" t="str">
        <f>INDEX(Categories[Parameter],ROW(B38))</f>
        <v>Connection Type</v>
      </c>
      <c r="B39" s="23" t="s">
        <v>279</v>
      </c>
      <c r="C39" s="23" t="s">
        <v>280</v>
      </c>
      <c r="D39" s="46" t="s">
        <v>10</v>
      </c>
    </row>
    <row r="40" spans="1:4" ht="15" thickBot="1" x14ac:dyDescent="0.35">
      <c r="A40" s="15" t="str">
        <f>INDEX(Categories[Parameter],ROW(B39))</f>
        <v>Connection Score</v>
      </c>
      <c r="B40" s="23" t="s">
        <v>281</v>
      </c>
      <c r="C40" s="23" t="s">
        <v>280</v>
      </c>
      <c r="D40" s="46" t="s">
        <v>266</v>
      </c>
    </row>
    <row r="41" spans="1:4" ht="15" thickBot="1" x14ac:dyDescent="0.35">
      <c r="A41" s="15" t="str">
        <f>INDEX(Categories[Parameter],ROW(B40))</f>
        <v xml:space="preserve">Prefabrication </v>
      </c>
      <c r="B41" s="23" t="s">
        <v>282</v>
      </c>
      <c r="C41" s="23" t="s">
        <v>280</v>
      </c>
      <c r="D41" s="46" t="s">
        <v>278</v>
      </c>
    </row>
    <row r="42" spans="1:4" ht="15" thickBot="1" x14ac:dyDescent="0.35">
      <c r="A42" s="15" t="str">
        <f>INDEX(Categories[Parameter],ROW(B41))</f>
        <v>Prefabrication factor</v>
      </c>
      <c r="B42" s="23" t="s">
        <v>283</v>
      </c>
      <c r="C42" s="23" t="s">
        <v>280</v>
      </c>
      <c r="D42" s="46" t="s">
        <v>266</v>
      </c>
    </row>
    <row r="43" spans="1:4" ht="15" thickBot="1" x14ac:dyDescent="0.35">
      <c r="A43" s="15" t="str">
        <f>INDEX(Categories[Parameter],ROW(B42))</f>
        <v>Deconstructability score</v>
      </c>
      <c r="B43" s="23" t="s">
        <v>284</v>
      </c>
      <c r="C43" s="23" t="s">
        <v>280</v>
      </c>
      <c r="D43" s="46" t="s">
        <v>266</v>
      </c>
    </row>
    <row r="44" spans="1:4" ht="15" thickBot="1" x14ac:dyDescent="0.35">
      <c r="A44" s="15" t="str">
        <f>INDEX(Categories[Parameter],ROW(B43))</f>
        <v>Recycling potential</v>
      </c>
      <c r="B44" s="23" t="s">
        <v>285</v>
      </c>
      <c r="C44" s="23" t="s">
        <v>280</v>
      </c>
      <c r="D44" s="46" t="s">
        <v>266</v>
      </c>
    </row>
    <row r="45" spans="1:4" ht="15" thickBot="1" x14ac:dyDescent="0.35">
      <c r="A45" s="15" t="str">
        <f>INDEX(Categories[Parameter],ROW(B44))</f>
        <v xml:space="preserve">Reusability </v>
      </c>
      <c r="B45" s="23" t="s">
        <v>286</v>
      </c>
      <c r="C45" s="23" t="s">
        <v>280</v>
      </c>
      <c r="D45" s="46" t="s">
        <v>278</v>
      </c>
    </row>
    <row r="46" spans="1:4" ht="15" thickBot="1" x14ac:dyDescent="0.35">
      <c r="A46" s="15" t="str">
        <f>INDEX(Categories[Parameter],ROW(B45))</f>
        <v>Reusability potential</v>
      </c>
      <c r="B46" s="23" t="s">
        <v>287</v>
      </c>
      <c r="C46" s="23" t="s">
        <v>280</v>
      </c>
      <c r="D46" s="46" t="s">
        <v>266</v>
      </c>
    </row>
    <row r="47" spans="1:4" ht="15" thickBot="1" x14ac:dyDescent="0.35">
      <c r="A47" s="15" t="str">
        <f>INDEX(Categories[Parameter],ROW(B46))</f>
        <v>Recovery score</v>
      </c>
      <c r="B47" s="23" t="s">
        <v>288</v>
      </c>
      <c r="C47" s="23" t="s">
        <v>280</v>
      </c>
      <c r="D47" s="46" t="s">
        <v>266</v>
      </c>
    </row>
    <row r="48" spans="1:4" ht="15" thickBot="1" x14ac:dyDescent="0.35">
      <c r="A48" s="15" t="str">
        <f>INDEX(Categories[Parameter],ROW(B47))</f>
        <v>Disassembly potential</v>
      </c>
      <c r="B48" s="23" t="s">
        <v>289</v>
      </c>
      <c r="C48" s="23" t="s">
        <v>280</v>
      </c>
      <c r="D48" s="46" t="s">
        <v>266</v>
      </c>
    </row>
    <row r="49" spans="1:4" ht="15" thickBot="1" x14ac:dyDescent="0.35">
      <c r="A49" s="15" t="str">
        <f>INDEX(Categories[Parameter],ROW(B48))</f>
        <v>Disassembly instructions</v>
      </c>
      <c r="B49" s="23" t="s">
        <v>290</v>
      </c>
      <c r="C49" s="23" t="s">
        <v>280</v>
      </c>
      <c r="D49" s="46" t="s">
        <v>247</v>
      </c>
    </row>
    <row r="50" spans="1:4" ht="15" thickBot="1" x14ac:dyDescent="0.35">
      <c r="A50" s="15" t="str">
        <f>INDEX(Categories[Parameter],ROW(B49))</f>
        <v>Secondary use scenarios</v>
      </c>
      <c r="B50" s="23" t="s">
        <v>291</v>
      </c>
      <c r="C50" s="23" t="s">
        <v>280</v>
      </c>
      <c r="D50" s="46" t="s">
        <v>247</v>
      </c>
    </row>
    <row r="51" spans="1:4" ht="15" thickBot="1" x14ac:dyDescent="0.35">
      <c r="A51" s="15" t="str">
        <f>INDEX(Categories[Parameter],ROW(B50))</f>
        <v>End-of-life recommendation</v>
      </c>
      <c r="B51" s="23" t="s">
        <v>292</v>
      </c>
      <c r="C51" s="23" t="s">
        <v>280</v>
      </c>
      <c r="D51" s="46" t="s">
        <v>247</v>
      </c>
    </row>
    <row r="52" spans="1:4" ht="15" thickBot="1" x14ac:dyDescent="0.35">
      <c r="A52" s="15" t="str">
        <f>INDEX(Categories[Parameter],ROW(B51))</f>
        <v xml:space="preserve">EPD </v>
      </c>
      <c r="B52" s="23" t="s">
        <v>293</v>
      </c>
      <c r="C52" s="23" t="s">
        <v>294</v>
      </c>
      <c r="D52" s="46" t="s">
        <v>278</v>
      </c>
    </row>
    <row r="53" spans="1:4" ht="15" thickBot="1" x14ac:dyDescent="0.35">
      <c r="A53" s="15" t="str">
        <f>INDEX(Categories[Parameter],ROW(B52))</f>
        <v>Link EPD</v>
      </c>
      <c r="B53" s="23" t="s">
        <v>295</v>
      </c>
      <c r="C53" s="23" t="s">
        <v>294</v>
      </c>
      <c r="D53" s="46" t="s">
        <v>241</v>
      </c>
    </row>
    <row r="54" spans="1:4" ht="15" thickBot="1" x14ac:dyDescent="0.35">
      <c r="A54" s="15" t="str">
        <f>INDEX(Categories[Parameter],ROW(B53))</f>
        <v>Global Warming Potential (GWP)</v>
      </c>
      <c r="B54" s="23" t="s">
        <v>296</v>
      </c>
      <c r="C54" s="23" t="s">
        <v>294</v>
      </c>
      <c r="D54" s="46" t="s">
        <v>266</v>
      </c>
    </row>
    <row r="55" spans="1:4" ht="15" thickBot="1" x14ac:dyDescent="0.35">
      <c r="A55" s="15" t="str">
        <f>INDEX(Categories[Parameter],ROW(B54))</f>
        <v xml:space="preserve">Primary Energy Intensity (PEI) </v>
      </c>
      <c r="B55" s="23" t="s">
        <v>297</v>
      </c>
      <c r="C55" s="23" t="s">
        <v>294</v>
      </c>
      <c r="D55" s="46" t="s">
        <v>266</v>
      </c>
    </row>
    <row r="56" spans="1:4" ht="28.2" thickBot="1" x14ac:dyDescent="0.35">
      <c r="A56" s="15" t="str">
        <f>INDEX(Categories[Parameter],ROW(B55))</f>
        <v>Primary Energy Intensity (PERT) Renewable</v>
      </c>
      <c r="B56" s="23" t="s">
        <v>298</v>
      </c>
      <c r="C56" s="23" t="s">
        <v>294</v>
      </c>
      <c r="D56" s="46" t="s">
        <v>266</v>
      </c>
    </row>
    <row r="57" spans="1:4" ht="28.2" thickBot="1" x14ac:dyDescent="0.35">
      <c r="A57" s="15" t="str">
        <f>INDEX(Categories[Parameter],ROW(B56))</f>
        <v>Primary Energy Intensity (PENRT) Non-renewable</v>
      </c>
      <c r="B57" s="23" t="s">
        <v>299</v>
      </c>
      <c r="C57" s="23" t="s">
        <v>294</v>
      </c>
      <c r="D57" s="46" t="s">
        <v>266</v>
      </c>
    </row>
    <row r="58" spans="1:4" ht="15" thickBot="1" x14ac:dyDescent="0.35">
      <c r="A58" s="15" t="str">
        <f>INDEX(Categories[Parameter],ROW(B57))</f>
        <v>Acidification Potential (AP)</v>
      </c>
      <c r="B58" s="23" t="s">
        <v>300</v>
      </c>
      <c r="C58" s="23" t="s">
        <v>294</v>
      </c>
      <c r="D58" s="46" t="s">
        <v>266</v>
      </c>
    </row>
    <row r="59" spans="1:4" ht="15" thickBot="1" x14ac:dyDescent="0.35">
      <c r="A59" s="15" t="str">
        <f>INDEX(Categories[Parameter],ROW(B58))</f>
        <v>Embodied carbon</v>
      </c>
      <c r="B59" s="23" t="s">
        <v>301</v>
      </c>
      <c r="C59" s="23" t="s">
        <v>294</v>
      </c>
      <c r="D59" s="46" t="s">
        <v>266</v>
      </c>
    </row>
    <row r="60" spans="1:4" ht="15" thickBot="1" x14ac:dyDescent="0.35">
      <c r="A60" s="15" t="str">
        <f>INDEX(Categories[Parameter],ROW(B59))</f>
        <v>Biogenic carbon storage</v>
      </c>
      <c r="B60" s="23" t="s">
        <v>302</v>
      </c>
      <c r="C60" s="23" t="s">
        <v>294</v>
      </c>
      <c r="D60" s="46" t="s">
        <v>266</v>
      </c>
    </row>
    <row r="61" spans="1:4" ht="15" thickBot="1" x14ac:dyDescent="0.35">
      <c r="A61" s="15" t="str">
        <f>INDEX(Categories[Parameter],ROW(B60))</f>
        <v>End-of-life emissions</v>
      </c>
      <c r="B61" s="23" t="s">
        <v>303</v>
      </c>
      <c r="C61" s="23" t="s">
        <v>294</v>
      </c>
      <c r="D61" s="46" t="s">
        <v>266</v>
      </c>
    </row>
    <row r="62" spans="1:4" ht="15" thickBot="1" x14ac:dyDescent="0.35">
      <c r="A62" s="45" t="str">
        <f>INDEX(Categories[Parameter],ROW(B61))</f>
        <v>Circularity index</v>
      </c>
      <c r="B62" s="23" t="s">
        <v>304</v>
      </c>
      <c r="C62" s="23" t="s">
        <v>305</v>
      </c>
      <c r="D62" s="46" t="s">
        <v>266</v>
      </c>
    </row>
    <row r="63" spans="1:4" ht="28.2" thickBot="1" x14ac:dyDescent="0.35">
      <c r="A63" s="15" t="str">
        <f>INDEX(Categories[Parameter],ROW(B62))</f>
        <v>Normalized environmental performance</v>
      </c>
      <c r="B63" s="23" t="s">
        <v>306</v>
      </c>
      <c r="C63" s="23" t="s">
        <v>294</v>
      </c>
      <c r="D63" s="46" t="s">
        <v>266</v>
      </c>
    </row>
    <row r="64" spans="1:4" ht="15" thickBot="1" x14ac:dyDescent="0.35">
      <c r="A64" s="15" t="str">
        <f>INDEX(Categories[Parameter],ROW(B63))</f>
        <v>Secondary life weighting</v>
      </c>
      <c r="B64" s="23" t="s">
        <v>307</v>
      </c>
      <c r="C64" s="23" t="s">
        <v>294</v>
      </c>
      <c r="D64" s="46" t="s">
        <v>266</v>
      </c>
    </row>
    <row r="65" spans="1:4" ht="15" thickBot="1" x14ac:dyDescent="0.35">
      <c r="A65" s="15" t="str">
        <f>INDEX(Categories[Parameter],ROW(B64))</f>
        <v>Environmental score</v>
      </c>
      <c r="B65" s="23" t="s">
        <v>308</v>
      </c>
      <c r="C65" s="23" t="s">
        <v>294</v>
      </c>
      <c r="D65" s="46" t="s">
        <v>266</v>
      </c>
    </row>
    <row r="66" spans="1:4" ht="15" thickBot="1" x14ac:dyDescent="0.35">
      <c r="A66" s="15" t="str">
        <f>INDEX(Categories[Parameter],ROW(B65))</f>
        <v>Service life</v>
      </c>
      <c r="B66" s="23" t="s">
        <v>309</v>
      </c>
      <c r="C66" s="23" t="s">
        <v>310</v>
      </c>
      <c r="D66" s="46" t="s">
        <v>311</v>
      </c>
    </row>
    <row r="67" spans="1:4" ht="15" thickBot="1" x14ac:dyDescent="0.35">
      <c r="A67" s="15" t="str">
        <f>INDEX(Categories[Parameter],ROW(B66))</f>
        <v>Mantenance Instructions</v>
      </c>
      <c r="B67" s="23" t="s">
        <v>312</v>
      </c>
      <c r="C67" s="23" t="s">
        <v>310</v>
      </c>
      <c r="D67" s="46" t="s">
        <v>247</v>
      </c>
    </row>
    <row r="68" spans="1:4" ht="15" thickBot="1" x14ac:dyDescent="0.35">
      <c r="A68" s="15" t="str">
        <f>INDEX(Categories[Parameter],ROW(B67))</f>
        <v>Soursing distance</v>
      </c>
      <c r="B68" s="23" t="s">
        <v>313</v>
      </c>
      <c r="C68" s="23" t="s">
        <v>310</v>
      </c>
      <c r="D68" s="46" t="s">
        <v>314</v>
      </c>
    </row>
    <row r="69" spans="1:4" ht="15" thickBot="1" x14ac:dyDescent="0.35">
      <c r="A69" s="15" t="str">
        <f>INDEX(Categories[Parameter],ROW(B68))</f>
        <v>Warranty</v>
      </c>
      <c r="B69" s="23" t="s">
        <v>315</v>
      </c>
      <c r="C69" s="23" t="s">
        <v>310</v>
      </c>
      <c r="D69" s="46" t="s">
        <v>278</v>
      </c>
    </row>
    <row r="70" spans="1:4" ht="15" thickBot="1" x14ac:dyDescent="0.35">
      <c r="A70" s="15" t="str">
        <f>INDEX(Categories[Parameter],ROW(B69))</f>
        <v>Warranty duration</v>
      </c>
      <c r="B70" s="23" t="s">
        <v>377</v>
      </c>
      <c r="C70" s="23" t="s">
        <v>310</v>
      </c>
      <c r="D70" s="46" t="s">
        <v>311</v>
      </c>
    </row>
    <row r="71" spans="1:4" ht="15" thickBot="1" x14ac:dyDescent="0.35">
      <c r="A71" s="15" t="str">
        <f>INDEX(Categories[Parameter],ROW(B70))</f>
        <v>Update history</v>
      </c>
      <c r="B71" s="23" t="s">
        <v>316</v>
      </c>
      <c r="C71" s="23" t="s">
        <v>310</v>
      </c>
      <c r="D71" s="46" t="s">
        <v>247</v>
      </c>
    </row>
    <row r="72" spans="1:4" ht="15" thickBot="1" x14ac:dyDescent="0.35">
      <c r="A72" s="15" t="str">
        <f>INDEX(Categories[Parameter],ROW(B71))</f>
        <v xml:space="preserve">HPD </v>
      </c>
      <c r="B72" s="23" t="s">
        <v>317</v>
      </c>
      <c r="C72" s="23" t="s">
        <v>318</v>
      </c>
      <c r="D72" s="46" t="s">
        <v>278</v>
      </c>
    </row>
    <row r="73" spans="1:4" ht="15" thickBot="1" x14ac:dyDescent="0.35">
      <c r="A73" s="15" t="str">
        <f>INDEX(Categories[Parameter],ROW(B72))</f>
        <v>Link HPD</v>
      </c>
      <c r="B73" s="23" t="s">
        <v>319</v>
      </c>
      <c r="C73" s="23" t="s">
        <v>318</v>
      </c>
      <c r="D73" s="46" t="s">
        <v>241</v>
      </c>
    </row>
    <row r="74" spans="1:4" ht="15" thickBot="1" x14ac:dyDescent="0.35">
      <c r="A74" s="15" t="str">
        <f>INDEX(Categories[Parameter],ROW(B73))</f>
        <v>Hazard classification</v>
      </c>
      <c r="B74" s="23" t="s">
        <v>320</v>
      </c>
      <c r="C74" s="23" t="s">
        <v>318</v>
      </c>
      <c r="D74" s="46" t="s">
        <v>10</v>
      </c>
    </row>
    <row r="75" spans="1:4" ht="15" thickBot="1" x14ac:dyDescent="0.35">
      <c r="A75" s="15" t="str">
        <f>INDEX(Categories[Parameter],ROW(B74))</f>
        <v>PM</v>
      </c>
      <c r="B75" s="23" t="s">
        <v>321</v>
      </c>
      <c r="C75" s="23" t="s">
        <v>318</v>
      </c>
      <c r="D75" s="46" t="s">
        <v>266</v>
      </c>
    </row>
    <row r="76" spans="1:4" ht="15" thickBot="1" x14ac:dyDescent="0.35">
      <c r="A76" s="15" t="str">
        <f>INDEX(Categories[Parameter],ROW(B75))</f>
        <v>IRP</v>
      </c>
      <c r="B76" s="23" t="s">
        <v>381</v>
      </c>
      <c r="C76" s="23" t="s">
        <v>318</v>
      </c>
      <c r="D76" s="46" t="s">
        <v>266</v>
      </c>
    </row>
    <row r="77" spans="1:4" ht="15" thickBot="1" x14ac:dyDescent="0.35">
      <c r="A77" s="15" t="str">
        <f>INDEX(Categories[Parameter],ROW(B76))</f>
        <v>ETP-fw</v>
      </c>
      <c r="B77" s="23" t="s">
        <v>380</v>
      </c>
      <c r="C77" s="23" t="s">
        <v>318</v>
      </c>
      <c r="D77" s="46" t="s">
        <v>266</v>
      </c>
    </row>
    <row r="78" spans="1:4" ht="15" thickBot="1" x14ac:dyDescent="0.35">
      <c r="A78" s="15" t="str">
        <f>INDEX(Categories[Parameter],ROW(B77))</f>
        <v>HTP-c</v>
      </c>
      <c r="B78" s="23" t="s">
        <v>379</v>
      </c>
      <c r="C78" s="23" t="s">
        <v>318</v>
      </c>
      <c r="D78" s="46" t="s">
        <v>266</v>
      </c>
    </row>
    <row r="79" spans="1:4" ht="15" thickBot="1" x14ac:dyDescent="0.35">
      <c r="A79" s="15" t="str">
        <f>INDEX(Categories[Parameter],ROW(B78))</f>
        <v>HTP-nc</v>
      </c>
      <c r="B79" s="23" t="s">
        <v>378</v>
      </c>
      <c r="C79" s="23" t="s">
        <v>318</v>
      </c>
      <c r="D79" s="46" t="s">
        <v>266</v>
      </c>
    </row>
    <row r="80" spans="1:4" ht="15" thickBot="1" x14ac:dyDescent="0.35">
      <c r="A80" s="15" t="str">
        <f>INDEX(Categories[Parameter],ROW(B79))</f>
        <v>SQP</v>
      </c>
      <c r="B80" s="23" t="s">
        <v>322</v>
      </c>
      <c r="C80" s="23" t="s">
        <v>318</v>
      </c>
      <c r="D80" s="46" t="s">
        <v>266</v>
      </c>
    </row>
    <row r="81" spans="1:4" ht="15" thickBot="1" x14ac:dyDescent="0.35">
      <c r="A81" s="15" t="str">
        <f>INDEX(Categories[Parameter],ROW(B80))</f>
        <v>Toxicity</v>
      </c>
      <c r="B81" s="23" t="s">
        <v>323</v>
      </c>
      <c r="C81" s="23" t="s">
        <v>318</v>
      </c>
      <c r="D81" s="46" t="s">
        <v>278</v>
      </c>
    </row>
    <row r="82" spans="1:4" ht="15" thickBot="1" x14ac:dyDescent="0.35">
      <c r="A82" s="15" t="str">
        <f>INDEX(Categories[Parameter],ROW(B81))</f>
        <v>Class</v>
      </c>
      <c r="B82" s="23" t="s">
        <v>324</v>
      </c>
      <c r="C82" s="23" t="s">
        <v>318</v>
      </c>
      <c r="D82" s="46" t="s">
        <v>10</v>
      </c>
    </row>
    <row r="83" spans="1:4" ht="15" thickBot="1" x14ac:dyDescent="0.35">
      <c r="A83" s="15" t="str">
        <f>INDEX(Categories[Parameter],ROW(B82))</f>
        <v>s-subclass</v>
      </c>
      <c r="B83" s="23" t="s">
        <v>325</v>
      </c>
      <c r="C83" s="23" t="s">
        <v>318</v>
      </c>
      <c r="D83" s="46" t="s">
        <v>10</v>
      </c>
    </row>
    <row r="84" spans="1:4" ht="15" thickBot="1" x14ac:dyDescent="0.35">
      <c r="A84" s="15" t="str">
        <f>INDEX(Categories[Parameter],ROW(B83))</f>
        <v>d_subclass</v>
      </c>
      <c r="B84" s="23" t="s">
        <v>326</v>
      </c>
      <c r="C84" s="23" t="s">
        <v>318</v>
      </c>
      <c r="D84" s="46" t="s">
        <v>10</v>
      </c>
    </row>
    <row r="85" spans="1:4" ht="15" thickBot="1" x14ac:dyDescent="0.35">
      <c r="A85" s="15" t="str">
        <f>INDEX(Categories[Parameter],ROW(B84))</f>
        <v>Fire resistance</v>
      </c>
      <c r="B85" s="23" t="s">
        <v>327</v>
      </c>
      <c r="C85" s="23" t="s">
        <v>318</v>
      </c>
      <c r="D85" s="46" t="s">
        <v>10</v>
      </c>
    </row>
    <row r="86" spans="1:4" ht="15" thickBot="1" x14ac:dyDescent="0.35">
      <c r="A86" s="15" t="str">
        <f>INDEX(Categories[Parameter],ROW(B85))</f>
        <v xml:space="preserve">Coatings </v>
      </c>
      <c r="B86" s="23" t="s">
        <v>328</v>
      </c>
      <c r="C86" s="23" t="s">
        <v>318</v>
      </c>
      <c r="D86" s="46" t="s">
        <v>278</v>
      </c>
    </row>
    <row r="87" spans="1:4" ht="15" thickBot="1" x14ac:dyDescent="0.35">
      <c r="A87" s="15" t="str">
        <f>INDEX(Categories[Parameter],ROW(B86))</f>
        <v>Coatings or treatments</v>
      </c>
      <c r="B87" s="23" t="s">
        <v>329</v>
      </c>
      <c r="C87" s="23" t="s">
        <v>318</v>
      </c>
      <c r="D87" s="46" t="s">
        <v>10</v>
      </c>
    </row>
    <row r="88" spans="1:4" ht="15" thickBot="1" x14ac:dyDescent="0.35">
      <c r="A88" s="15" t="str">
        <f>INDEX(Categories[Parameter],ROW(B87))</f>
        <v>PPE requirements</v>
      </c>
      <c r="B88" s="23" t="s">
        <v>330</v>
      </c>
      <c r="C88" s="23" t="s">
        <v>318</v>
      </c>
      <c r="D88" s="46" t="s">
        <v>247</v>
      </c>
    </row>
    <row r="89" spans="1:4" ht="15" thickBot="1" x14ac:dyDescent="0.35">
      <c r="A89" s="15" t="str">
        <f>INDEX(Categories[Parameter],ROW(B88))</f>
        <v>Compliance certificates</v>
      </c>
      <c r="B89" s="23" t="s">
        <v>331</v>
      </c>
      <c r="C89" s="23" t="s">
        <v>318</v>
      </c>
      <c r="D89" s="46" t="s">
        <v>278</v>
      </c>
    </row>
    <row r="90" spans="1:4" ht="15" thickBot="1" x14ac:dyDescent="0.35">
      <c r="A90" s="15" t="str">
        <f>INDEX(Categories[Parameter],ROW(B89))</f>
        <v>Sound Absorption Coefficient</v>
      </c>
      <c r="B90" s="24" t="s">
        <v>332</v>
      </c>
      <c r="C90" s="24" t="s">
        <v>333</v>
      </c>
      <c r="D90" s="46" t="s">
        <v>266</v>
      </c>
    </row>
    <row r="91" spans="1:4" ht="15" thickBot="1" x14ac:dyDescent="0.35">
      <c r="A91" s="15" t="str">
        <f>INDEX(Categories[Parameter],ROW(B90))</f>
        <v>Sound Attenuation Index</v>
      </c>
      <c r="B91" s="24" t="s">
        <v>334</v>
      </c>
      <c r="C91" s="24" t="s">
        <v>333</v>
      </c>
      <c r="D91" s="46" t="s">
        <v>266</v>
      </c>
    </row>
    <row r="92" spans="1:4" ht="15" thickBot="1" x14ac:dyDescent="0.35">
      <c r="A92" s="15" t="str">
        <f>INDEX(Categories[Parameter],ROW(B91))</f>
        <v>Color</v>
      </c>
      <c r="B92" s="24" t="s">
        <v>335</v>
      </c>
      <c r="C92" s="24" t="s">
        <v>333</v>
      </c>
      <c r="D92" s="46" t="s">
        <v>10</v>
      </c>
    </row>
    <row r="93" spans="1:4" ht="15" thickBot="1" x14ac:dyDescent="0.35">
      <c r="A93" s="15" t="str">
        <f>INDEX(Categories[Parameter],ROW(B92))</f>
        <v>Odor</v>
      </c>
      <c r="B93" s="24" t="s">
        <v>336</v>
      </c>
      <c r="C93" s="24" t="s">
        <v>333</v>
      </c>
      <c r="D93" s="46" t="s">
        <v>10</v>
      </c>
    </row>
    <row r="94" spans="1:4" ht="15" thickBot="1" x14ac:dyDescent="0.35">
      <c r="A94" s="15" t="str">
        <f>INDEX(Categories[Parameter],ROW(B93))</f>
        <v>Texture</v>
      </c>
      <c r="B94" s="24" t="s">
        <v>337</v>
      </c>
      <c r="C94" s="24" t="s">
        <v>333</v>
      </c>
      <c r="D94" s="46" t="s">
        <v>10</v>
      </c>
    </row>
    <row r="95" spans="1:4" ht="15" thickBot="1" x14ac:dyDescent="0.35">
      <c r="A95" s="15" t="str">
        <f>INDEX(Categories[Parameter],ROW(B94))</f>
        <v>Temperature to touch</v>
      </c>
      <c r="B95" s="24" t="s">
        <v>338</v>
      </c>
      <c r="C95" s="24" t="s">
        <v>333</v>
      </c>
      <c r="D95" s="46" t="s">
        <v>10</v>
      </c>
    </row>
    <row r="96" spans="1:4" ht="15" thickBot="1" x14ac:dyDescent="0.35">
      <c r="A96" s="15" t="str">
        <f>INDEX(Categories[Parameter],ROW(B95))</f>
        <v>Climate Suitability</v>
      </c>
      <c r="B96" s="24" t="s">
        <v>339</v>
      </c>
      <c r="C96" s="24" t="s">
        <v>333</v>
      </c>
      <c r="D96" s="46" t="s">
        <v>10</v>
      </c>
    </row>
    <row r="97" spans="1:4" ht="15" thickBot="1" x14ac:dyDescent="0.35">
      <c r="A97" s="15" t="str">
        <f>INDEX(Categories[Parameter],ROW(B96))</f>
        <v>Agriculatural Value</v>
      </c>
      <c r="B97" s="24" t="s">
        <v>340</v>
      </c>
      <c r="C97" s="24" t="s">
        <v>333</v>
      </c>
      <c r="D97" s="46" t="s">
        <v>10</v>
      </c>
    </row>
    <row r="98" spans="1:4" ht="15" thickBot="1" x14ac:dyDescent="0.35">
      <c r="A98" s="15" t="str">
        <f>INDEX(Categories[Parameter],ROW(B97))</f>
        <v>Resourse Availability</v>
      </c>
      <c r="B98" s="24" t="s">
        <v>341</v>
      </c>
      <c r="C98" s="24" t="s">
        <v>333</v>
      </c>
      <c r="D98" s="46" t="s">
        <v>10</v>
      </c>
    </row>
    <row r="99" spans="1:4" ht="15" thickBot="1" x14ac:dyDescent="0.35">
      <c r="A99" s="15" t="str">
        <f>INDEX(Categories[Parameter],ROW(B98))</f>
        <v>Material Aging</v>
      </c>
      <c r="B99" s="24" t="s">
        <v>342</v>
      </c>
      <c r="C99" s="24" t="s">
        <v>333</v>
      </c>
      <c r="D99" s="46" t="s">
        <v>311</v>
      </c>
    </row>
    <row r="100" spans="1:4" ht="15" thickBot="1" x14ac:dyDescent="0.35">
      <c r="A100" s="15" t="str">
        <f>INDEX(Categories[Parameter],ROW(B99))</f>
        <v>Architectural Expression</v>
      </c>
      <c r="B100" s="24" t="s">
        <v>343</v>
      </c>
      <c r="C100" s="24" t="s">
        <v>333</v>
      </c>
      <c r="D100" s="46" t="s">
        <v>311</v>
      </c>
    </row>
    <row r="101" spans="1:4" ht="15" thickBot="1" x14ac:dyDescent="0.35">
      <c r="A101" s="15" t="str">
        <f>INDEX(Categories[Parameter],ROW(B100))</f>
        <v>Aesthetic Narratives</v>
      </c>
      <c r="B101" s="24" t="s">
        <v>344</v>
      </c>
      <c r="C101" s="24" t="s">
        <v>333</v>
      </c>
      <c r="D101" s="46" t="s">
        <v>311</v>
      </c>
    </row>
    <row r="102" spans="1:4" ht="15" thickBot="1" x14ac:dyDescent="0.35">
      <c r="A102" s="15" t="str">
        <f>INDEX(Categories[Parameter],ROW(B101))</f>
        <v>Thermal Comfort</v>
      </c>
      <c r="B102" s="24" t="s">
        <v>345</v>
      </c>
      <c r="C102" s="24" t="s">
        <v>333</v>
      </c>
      <c r="D102" s="46" t="s">
        <v>247</v>
      </c>
    </row>
    <row r="103" spans="1:4" ht="15" thickBot="1" x14ac:dyDescent="0.35">
      <c r="A103" s="15" t="str">
        <f>INDEX(Categories[Parameter],ROW(B102))</f>
        <v>Hygrothermal Comfort</v>
      </c>
      <c r="B103" s="24" t="s">
        <v>346</v>
      </c>
      <c r="C103" s="24" t="s">
        <v>333</v>
      </c>
      <c r="D103" s="46" t="s">
        <v>247</v>
      </c>
    </row>
    <row r="104" spans="1:4" ht="15" thickBot="1" x14ac:dyDescent="0.35">
      <c r="A104" s="15" t="str">
        <f>INDEX(Categories[Parameter],ROW(B103))</f>
        <v>Acoustic Comfort</v>
      </c>
      <c r="B104" s="24" t="s">
        <v>347</v>
      </c>
      <c r="C104" s="24" t="s">
        <v>333</v>
      </c>
      <c r="D104" s="46" t="s">
        <v>247</v>
      </c>
    </row>
    <row r="105" spans="1:4" ht="15" thickBot="1" x14ac:dyDescent="0.35">
      <c r="A105" s="15" t="str">
        <f>INDEX(Categories[Parameter],ROW(B104))</f>
        <v>Material Comfort</v>
      </c>
      <c r="B105" s="24" t="s">
        <v>348</v>
      </c>
      <c r="C105" s="24" t="s">
        <v>333</v>
      </c>
      <c r="D105" s="46" t="s">
        <v>247</v>
      </c>
    </row>
    <row r="106" spans="1:4" ht="15" thickBot="1" x14ac:dyDescent="0.35">
      <c r="A106" s="15" t="str">
        <f>INDEX(Categories[Parameter],ROW(B105))</f>
        <v>Craft Knowledge</v>
      </c>
      <c r="B106" s="24" t="s">
        <v>349</v>
      </c>
      <c r="C106" s="24" t="s">
        <v>333</v>
      </c>
      <c r="D106" s="46" t="s">
        <v>311</v>
      </c>
    </row>
    <row r="107" spans="1:4" ht="15" thickBot="1" x14ac:dyDescent="0.35">
      <c r="A107" s="15" t="str">
        <f>INDEX(Categories[Parameter],ROW(B106))</f>
        <v>Identity and Symbolism</v>
      </c>
      <c r="B107" s="24" t="s">
        <v>350</v>
      </c>
      <c r="C107" s="24" t="s">
        <v>333</v>
      </c>
      <c r="D107" s="46" t="s">
        <v>311</v>
      </c>
    </row>
    <row r="108" spans="1:4" ht="15" thickBot="1" x14ac:dyDescent="0.35">
      <c r="A108" s="15" t="str">
        <f>INDEX(Categories[Parameter],ROW(B107))</f>
        <v>Material unit cost</v>
      </c>
      <c r="B108" s="23" t="s">
        <v>351</v>
      </c>
      <c r="C108" s="23" t="s">
        <v>352</v>
      </c>
      <c r="D108" s="46" t="s">
        <v>210</v>
      </c>
    </row>
    <row r="109" spans="1:4" ht="15" thickBot="1" x14ac:dyDescent="0.35">
      <c r="A109" s="15" t="str">
        <f>INDEX(Categories[Parameter],ROW(B108))</f>
        <v>Assembly cost</v>
      </c>
      <c r="B109" s="23" t="s">
        <v>353</v>
      </c>
      <c r="C109" s="23" t="s">
        <v>352</v>
      </c>
      <c r="D109" s="46" t="s">
        <v>354</v>
      </c>
    </row>
    <row r="110" spans="1:4" ht="15" thickBot="1" x14ac:dyDescent="0.35">
      <c r="A110" s="15" t="str">
        <f>INDEX(Categories[Parameter],ROW(B109))</f>
        <v>Maintenance cost</v>
      </c>
      <c r="B110" s="23" t="s">
        <v>355</v>
      </c>
      <c r="C110" s="23" t="s">
        <v>352</v>
      </c>
      <c r="D110" s="46" t="s">
        <v>210</v>
      </c>
    </row>
    <row r="111" spans="1:4" ht="15" thickBot="1" x14ac:dyDescent="0.35">
      <c r="A111" s="15" t="str">
        <f>INDEX(Categories[Parameter],ROW(B110))</f>
        <v>Economic circularity benefit</v>
      </c>
      <c r="B111" s="23" t="s">
        <v>356</v>
      </c>
      <c r="C111" s="23" t="s">
        <v>352</v>
      </c>
      <c r="D111" s="46" t="s">
        <v>354</v>
      </c>
    </row>
    <row r="112" spans="1:4" ht="15" thickBot="1" x14ac:dyDescent="0.35">
      <c r="A112" s="15" t="str">
        <f>INDEX(Categories[Parameter],ROW(B111))</f>
        <v>Replacement cost</v>
      </c>
      <c r="B112" s="23" t="s">
        <v>357</v>
      </c>
      <c r="C112" s="23" t="s">
        <v>352</v>
      </c>
      <c r="D112" s="46" t="s">
        <v>210</v>
      </c>
    </row>
    <row r="113" spans="1:4" ht="15" thickBot="1" x14ac:dyDescent="0.35">
      <c r="A113" s="15" t="str">
        <f>INDEX(Categories[Parameter],ROW(B112))</f>
        <v>Net present value</v>
      </c>
      <c r="B113" s="23" t="s">
        <v>358</v>
      </c>
      <c r="C113" s="23" t="s">
        <v>352</v>
      </c>
      <c r="D113" s="46" t="s">
        <v>210</v>
      </c>
    </row>
    <row r="114" spans="1:4" ht="15" thickBot="1" x14ac:dyDescent="0.35">
      <c r="A114" s="15" t="str">
        <f>INDEX(Categories[Parameter],ROW(B113))</f>
        <v>Net savings (net benefit)</v>
      </c>
      <c r="B114" s="23" t="s">
        <v>359</v>
      </c>
      <c r="C114" s="23" t="s">
        <v>352</v>
      </c>
      <c r="D114" s="46" t="s">
        <v>210</v>
      </c>
    </row>
    <row r="115" spans="1:4" ht="15" thickBot="1" x14ac:dyDescent="0.35">
      <c r="A115" s="15" t="str">
        <f>INDEX(Categories[Parameter],ROW(B114))</f>
        <v>Pay back period</v>
      </c>
      <c r="B115" s="23" t="s">
        <v>360</v>
      </c>
      <c r="C115" s="23" t="s">
        <v>352</v>
      </c>
      <c r="D115" s="46" t="s">
        <v>266</v>
      </c>
    </row>
    <row r="116" spans="1:4" ht="15" thickBot="1" x14ac:dyDescent="0.35">
      <c r="A116" s="15" t="str">
        <f>INDEX(Categories[Parameter],ROW(B115))</f>
        <v>Benefit-Cost ratio</v>
      </c>
      <c r="B116" s="23" t="s">
        <v>361</v>
      </c>
      <c r="C116" s="23" t="s">
        <v>352</v>
      </c>
      <c r="D116" s="46" t="s">
        <v>266</v>
      </c>
    </row>
    <row r="117" spans="1:4" x14ac:dyDescent="0.3">
      <c r="A117" s="50" t="str">
        <f>INDEX(Categories[Parameter],ROW(B116))</f>
        <v>Lifecycle cost estimate</v>
      </c>
      <c r="B117" s="51" t="s">
        <v>362</v>
      </c>
      <c r="C117" s="51" t="s">
        <v>352</v>
      </c>
      <c r="D117" s="52" t="s">
        <v>354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2"/>
  <sheetViews>
    <sheetView workbookViewId="0">
      <selection activeCell="C10" sqref="C10"/>
    </sheetView>
  </sheetViews>
  <sheetFormatPr baseColWidth="10" defaultRowHeight="14.4" x14ac:dyDescent="0.3"/>
  <cols>
    <col min="1" max="1" width="30.109375" style="55" customWidth="1"/>
    <col min="2" max="2" width="23.21875" style="55" customWidth="1"/>
    <col min="3" max="3" width="27.33203125" style="55" customWidth="1"/>
    <col min="4" max="4" width="23.44140625" style="55" customWidth="1"/>
    <col min="5" max="5" width="37" style="53" customWidth="1"/>
  </cols>
  <sheetData>
    <row r="1" spans="1:5" ht="15" thickBot="1" x14ac:dyDescent="0.35">
      <c r="A1" s="5" t="s">
        <v>406</v>
      </c>
      <c r="B1" s="5" t="s">
        <v>407</v>
      </c>
      <c r="C1" s="5" t="s">
        <v>408</v>
      </c>
      <c r="D1" s="5" t="s">
        <v>409</v>
      </c>
      <c r="E1" s="5" t="s">
        <v>410</v>
      </c>
    </row>
    <row r="2" spans="1:5" ht="28.2" thickBot="1" x14ac:dyDescent="0.35">
      <c r="A2" s="54" t="s">
        <v>411</v>
      </c>
      <c r="B2" s="54" t="s">
        <v>411</v>
      </c>
      <c r="C2" s="54" t="s">
        <v>412</v>
      </c>
      <c r="D2" s="54" t="s">
        <v>413</v>
      </c>
      <c r="E2" s="54" t="s">
        <v>414</v>
      </c>
    </row>
    <row r="3" spans="1:5" ht="28.2" thickBot="1" x14ac:dyDescent="0.35">
      <c r="A3" s="54" t="s">
        <v>415</v>
      </c>
      <c r="B3" s="54" t="s">
        <v>416</v>
      </c>
      <c r="C3" s="54" t="s">
        <v>417</v>
      </c>
      <c r="D3" s="54" t="s">
        <v>413</v>
      </c>
      <c r="E3" s="54" t="s">
        <v>418</v>
      </c>
    </row>
    <row r="4" spans="1:5" ht="28.2" thickBot="1" x14ac:dyDescent="0.35">
      <c r="A4" s="54" t="s">
        <v>419</v>
      </c>
      <c r="B4" s="54" t="s">
        <v>420</v>
      </c>
      <c r="C4" s="54" t="s">
        <v>421</v>
      </c>
      <c r="D4" s="54" t="s">
        <v>413</v>
      </c>
      <c r="E4" s="54" t="s">
        <v>422</v>
      </c>
    </row>
    <row r="5" spans="1:5" ht="28.2" thickBot="1" x14ac:dyDescent="0.35">
      <c r="A5" s="54" t="s">
        <v>423</v>
      </c>
      <c r="B5" s="54" t="s">
        <v>423</v>
      </c>
      <c r="C5" s="54" t="s">
        <v>424</v>
      </c>
      <c r="D5" s="54" t="s">
        <v>425</v>
      </c>
      <c r="E5" s="54" t="s">
        <v>426</v>
      </c>
    </row>
    <row r="6" spans="1:5" ht="28.2" thickBot="1" x14ac:dyDescent="0.35">
      <c r="A6" s="54" t="s">
        <v>427</v>
      </c>
      <c r="B6" s="54" t="s">
        <v>427</v>
      </c>
      <c r="C6" s="54" t="s">
        <v>428</v>
      </c>
      <c r="D6" s="54" t="s">
        <v>425</v>
      </c>
      <c r="E6" s="54" t="s">
        <v>429</v>
      </c>
    </row>
    <row r="7" spans="1:5" ht="28.2" thickBot="1" x14ac:dyDescent="0.35">
      <c r="A7" s="54" t="s">
        <v>430</v>
      </c>
      <c r="B7" s="54" t="s">
        <v>430</v>
      </c>
      <c r="C7" s="54" t="s">
        <v>431</v>
      </c>
      <c r="D7" s="54" t="s">
        <v>432</v>
      </c>
      <c r="E7" s="54" t="s">
        <v>433</v>
      </c>
    </row>
    <row r="8" spans="1:5" ht="28.2" thickBot="1" x14ac:dyDescent="0.35">
      <c r="A8" s="54" t="s">
        <v>42</v>
      </c>
      <c r="B8" s="54" t="s">
        <v>434</v>
      </c>
      <c r="C8" s="54" t="s">
        <v>435</v>
      </c>
      <c r="D8" s="54" t="s">
        <v>432</v>
      </c>
      <c r="E8" s="54" t="s">
        <v>436</v>
      </c>
    </row>
    <row r="9" spans="1:5" ht="42" thickBot="1" x14ac:dyDescent="0.35">
      <c r="A9" s="54" t="s">
        <v>437</v>
      </c>
      <c r="B9" s="54" t="s">
        <v>438</v>
      </c>
      <c r="C9" s="54" t="s">
        <v>439</v>
      </c>
      <c r="D9" s="54" t="s">
        <v>432</v>
      </c>
      <c r="E9" s="54" t="s">
        <v>440</v>
      </c>
    </row>
    <row r="10" spans="1:5" ht="28.2" thickBot="1" x14ac:dyDescent="0.35">
      <c r="A10" s="54" t="s">
        <v>441</v>
      </c>
      <c r="B10" s="54" t="s">
        <v>441</v>
      </c>
      <c r="C10" s="54" t="s">
        <v>442</v>
      </c>
      <c r="D10" s="54" t="s">
        <v>441</v>
      </c>
      <c r="E10" s="54" t="s">
        <v>443</v>
      </c>
    </row>
    <row r="11" spans="1:5" ht="28.2" thickBot="1" x14ac:dyDescent="0.35">
      <c r="A11" s="54" t="s">
        <v>444</v>
      </c>
      <c r="B11" s="54" t="s">
        <v>445</v>
      </c>
      <c r="C11" s="54" t="s">
        <v>446</v>
      </c>
      <c r="D11" s="54" t="s">
        <v>441</v>
      </c>
      <c r="E11" s="54" t="s">
        <v>447</v>
      </c>
    </row>
    <row r="12" spans="1:5" ht="28.2" thickBot="1" x14ac:dyDescent="0.35">
      <c r="A12" s="54" t="s">
        <v>448</v>
      </c>
      <c r="B12" s="54" t="s">
        <v>449</v>
      </c>
      <c r="C12" s="54" t="s">
        <v>450</v>
      </c>
      <c r="D12" s="54" t="s">
        <v>441</v>
      </c>
      <c r="E12" s="54" t="s">
        <v>451</v>
      </c>
    </row>
    <row r="13" spans="1:5" ht="28.2" thickBot="1" x14ac:dyDescent="0.35">
      <c r="A13" s="54" t="s">
        <v>452</v>
      </c>
      <c r="B13" s="54" t="s">
        <v>453</v>
      </c>
      <c r="C13" s="54" t="s">
        <v>454</v>
      </c>
      <c r="D13" s="54" t="s">
        <v>441</v>
      </c>
      <c r="E13" s="54" t="s">
        <v>455</v>
      </c>
    </row>
    <row r="14" spans="1:5" ht="28.2" thickBot="1" x14ac:dyDescent="0.35">
      <c r="A14" s="54" t="s">
        <v>456</v>
      </c>
      <c r="B14" s="54" t="s">
        <v>457</v>
      </c>
      <c r="C14" s="54" t="s">
        <v>458</v>
      </c>
      <c r="D14" s="54" t="s">
        <v>413</v>
      </c>
      <c r="E14" s="54" t="s">
        <v>459</v>
      </c>
    </row>
    <row r="15" spans="1:5" ht="28.2" thickBot="1" x14ac:dyDescent="0.35">
      <c r="A15" s="54" t="s">
        <v>460</v>
      </c>
      <c r="B15" s="54" t="s">
        <v>461</v>
      </c>
      <c r="C15" s="54" t="s">
        <v>442</v>
      </c>
      <c r="D15" s="54" t="s">
        <v>441</v>
      </c>
      <c r="E15" s="54" t="s">
        <v>462</v>
      </c>
    </row>
    <row r="16" spans="1:5" ht="28.2" thickBot="1" x14ac:dyDescent="0.35">
      <c r="A16" s="54" t="s">
        <v>463</v>
      </c>
      <c r="B16" s="54" t="s">
        <v>464</v>
      </c>
      <c r="C16" s="54" t="s">
        <v>465</v>
      </c>
      <c r="D16" s="54" t="s">
        <v>413</v>
      </c>
      <c r="E16" s="54" t="s">
        <v>466</v>
      </c>
    </row>
    <row r="17" spans="1:5" ht="28.2" thickBot="1" x14ac:dyDescent="0.35">
      <c r="A17" s="54" t="s">
        <v>467</v>
      </c>
      <c r="B17" s="54" t="s">
        <v>468</v>
      </c>
      <c r="C17" s="54" t="s">
        <v>469</v>
      </c>
      <c r="D17" s="54" t="s">
        <v>470</v>
      </c>
      <c r="E17" s="54" t="s">
        <v>471</v>
      </c>
    </row>
    <row r="18" spans="1:5" ht="15" thickBot="1" x14ac:dyDescent="0.35">
      <c r="A18" s="54" t="s">
        <v>472</v>
      </c>
      <c r="B18" s="54" t="s">
        <v>472</v>
      </c>
      <c r="C18" s="54" t="s">
        <v>473</v>
      </c>
      <c r="D18" s="54" t="s">
        <v>474</v>
      </c>
      <c r="E18" s="54" t="s">
        <v>475</v>
      </c>
    </row>
    <row r="19" spans="1:5" ht="28.2" thickBot="1" x14ac:dyDescent="0.35">
      <c r="A19" s="54" t="s">
        <v>476</v>
      </c>
      <c r="B19" s="54" t="s">
        <v>476</v>
      </c>
      <c r="C19" s="54" t="s">
        <v>477</v>
      </c>
      <c r="D19" s="54" t="s">
        <v>478</v>
      </c>
      <c r="E19" s="54" t="s">
        <v>479</v>
      </c>
    </row>
    <row r="20" spans="1:5" ht="28.2" thickBot="1" x14ac:dyDescent="0.35">
      <c r="A20" s="54" t="s">
        <v>480</v>
      </c>
      <c r="B20" s="54" t="s">
        <v>480</v>
      </c>
      <c r="C20" s="54" t="s">
        <v>481</v>
      </c>
      <c r="D20" s="54" t="s">
        <v>478</v>
      </c>
      <c r="E20" s="54" t="s">
        <v>482</v>
      </c>
    </row>
    <row r="21" spans="1:5" ht="28.2" thickBot="1" x14ac:dyDescent="0.35">
      <c r="A21" s="54" t="s">
        <v>483</v>
      </c>
      <c r="B21" s="54" t="s">
        <v>484</v>
      </c>
      <c r="C21" s="54" t="s">
        <v>485</v>
      </c>
      <c r="D21" s="54" t="s">
        <v>478</v>
      </c>
      <c r="E21" s="54" t="s">
        <v>486</v>
      </c>
    </row>
    <row r="22" spans="1:5" ht="28.2" thickBot="1" x14ac:dyDescent="0.35">
      <c r="A22" s="54" t="s">
        <v>487</v>
      </c>
      <c r="B22" s="54" t="s">
        <v>488</v>
      </c>
      <c r="C22" s="54" t="s">
        <v>489</v>
      </c>
      <c r="D22" s="54" t="s">
        <v>478</v>
      </c>
      <c r="E22" s="54" t="s">
        <v>490</v>
      </c>
    </row>
    <row r="23" spans="1:5" ht="28.2" thickBot="1" x14ac:dyDescent="0.35">
      <c r="A23" s="54" t="s">
        <v>491</v>
      </c>
      <c r="B23" s="54" t="s">
        <v>492</v>
      </c>
      <c r="C23" s="54" t="s">
        <v>493</v>
      </c>
      <c r="D23" s="54" t="s">
        <v>478</v>
      </c>
      <c r="E23" s="54" t="s">
        <v>494</v>
      </c>
    </row>
    <row r="24" spans="1:5" ht="15" thickBot="1" x14ac:dyDescent="0.35">
      <c r="A24" s="54" t="s">
        <v>495</v>
      </c>
      <c r="B24" s="54" t="s">
        <v>495</v>
      </c>
      <c r="C24" s="54" t="s">
        <v>496</v>
      </c>
      <c r="D24" s="54" t="s">
        <v>478</v>
      </c>
      <c r="E24" s="54" t="s">
        <v>497</v>
      </c>
    </row>
    <row r="25" spans="1:5" ht="28.2" thickBot="1" x14ac:dyDescent="0.35">
      <c r="A25" s="54" t="s">
        <v>498</v>
      </c>
      <c r="B25" s="54" t="s">
        <v>499</v>
      </c>
      <c r="C25" s="54" t="s">
        <v>500</v>
      </c>
      <c r="D25" s="54" t="s">
        <v>470</v>
      </c>
      <c r="E25" s="54" t="s">
        <v>501</v>
      </c>
    </row>
    <row r="26" spans="1:5" ht="15" thickBot="1" x14ac:dyDescent="0.35">
      <c r="A26" s="54" t="s">
        <v>502</v>
      </c>
      <c r="B26" s="54" t="s">
        <v>503</v>
      </c>
      <c r="C26" s="54" t="s">
        <v>504</v>
      </c>
      <c r="D26" s="54" t="s">
        <v>478</v>
      </c>
      <c r="E26" s="54" t="s">
        <v>505</v>
      </c>
    </row>
    <row r="27" spans="1:5" ht="28.2" thickBot="1" x14ac:dyDescent="0.35">
      <c r="A27" s="54" t="s">
        <v>506</v>
      </c>
      <c r="B27" s="54" t="s">
        <v>506</v>
      </c>
      <c r="C27" s="54" t="s">
        <v>507</v>
      </c>
      <c r="D27" s="54" t="s">
        <v>474</v>
      </c>
      <c r="E27" s="54" t="s">
        <v>508</v>
      </c>
    </row>
    <row r="28" spans="1:5" ht="28.2" thickBot="1" x14ac:dyDescent="0.35">
      <c r="A28" s="54" t="s">
        <v>509</v>
      </c>
      <c r="B28" s="54" t="s">
        <v>510</v>
      </c>
      <c r="C28" s="54" t="s">
        <v>511</v>
      </c>
      <c r="D28" s="54" t="s">
        <v>474</v>
      </c>
      <c r="E28" s="54" t="s">
        <v>512</v>
      </c>
    </row>
    <row r="29" spans="1:5" ht="15" thickBot="1" x14ac:dyDescent="0.35">
      <c r="A29" s="54" t="s">
        <v>513</v>
      </c>
      <c r="B29" s="54" t="s">
        <v>514</v>
      </c>
      <c r="C29" s="54" t="s">
        <v>515</v>
      </c>
      <c r="D29" s="54" t="s">
        <v>474</v>
      </c>
      <c r="E29" s="54" t="s">
        <v>516</v>
      </c>
    </row>
    <row r="30" spans="1:5" ht="28.2" thickBot="1" x14ac:dyDescent="0.35">
      <c r="A30" s="54" t="s">
        <v>517</v>
      </c>
      <c r="B30" s="54" t="s">
        <v>518</v>
      </c>
      <c r="C30" s="54" t="s">
        <v>519</v>
      </c>
      <c r="D30" s="54" t="s">
        <v>478</v>
      </c>
      <c r="E30" s="54" t="s">
        <v>520</v>
      </c>
    </row>
    <row r="31" spans="1:5" ht="15" thickBot="1" x14ac:dyDescent="0.35">
      <c r="A31" s="54" t="s">
        <v>521</v>
      </c>
      <c r="B31" s="54" t="s">
        <v>521</v>
      </c>
      <c r="C31" s="54" t="s">
        <v>522</v>
      </c>
      <c r="D31" s="54" t="s">
        <v>478</v>
      </c>
      <c r="E31" s="54" t="s">
        <v>523</v>
      </c>
    </row>
    <row r="32" spans="1:5" ht="28.2" thickBot="1" x14ac:dyDescent="0.35">
      <c r="A32" s="54" t="s">
        <v>524</v>
      </c>
      <c r="B32" s="54" t="s">
        <v>524</v>
      </c>
      <c r="C32" s="54" t="s">
        <v>525</v>
      </c>
      <c r="D32" s="54" t="s">
        <v>478</v>
      </c>
      <c r="E32" s="54" t="s">
        <v>526</v>
      </c>
    </row>
    <row r="33" spans="1:5" ht="28.2" thickBot="1" x14ac:dyDescent="0.35">
      <c r="A33" s="54" t="s">
        <v>527</v>
      </c>
      <c r="B33" s="54" t="s">
        <v>528</v>
      </c>
      <c r="C33" s="54" t="s">
        <v>529</v>
      </c>
      <c r="D33" s="54" t="s">
        <v>478</v>
      </c>
      <c r="E33" s="54" t="s">
        <v>530</v>
      </c>
    </row>
    <row r="34" spans="1:5" ht="28.2" thickBot="1" x14ac:dyDescent="0.35">
      <c r="A34" s="54" t="s">
        <v>531</v>
      </c>
      <c r="B34" s="54" t="s">
        <v>531</v>
      </c>
      <c r="C34" s="54" t="s">
        <v>532</v>
      </c>
      <c r="D34" s="54" t="s">
        <v>425</v>
      </c>
      <c r="E34" s="54" t="s">
        <v>533</v>
      </c>
    </row>
    <row r="35" spans="1:5" ht="28.2" thickBot="1" x14ac:dyDescent="0.35">
      <c r="A35" s="54" t="s">
        <v>534</v>
      </c>
      <c r="B35" s="54" t="s">
        <v>534</v>
      </c>
      <c r="C35" s="54" t="s">
        <v>535</v>
      </c>
      <c r="D35" s="54" t="s">
        <v>536</v>
      </c>
      <c r="E35" s="54" t="s">
        <v>537</v>
      </c>
    </row>
    <row r="36" spans="1:5" ht="28.2" thickBot="1" x14ac:dyDescent="0.35">
      <c r="A36" s="54" t="s">
        <v>538</v>
      </c>
      <c r="B36" s="54" t="s">
        <v>538</v>
      </c>
      <c r="C36" s="54" t="s">
        <v>539</v>
      </c>
      <c r="D36" s="54" t="s">
        <v>536</v>
      </c>
      <c r="E36" s="54" t="s">
        <v>540</v>
      </c>
    </row>
    <row r="37" spans="1:5" ht="28.2" thickBot="1" x14ac:dyDescent="0.35">
      <c r="A37" s="54" t="s">
        <v>541</v>
      </c>
      <c r="B37" s="54" t="s">
        <v>542</v>
      </c>
      <c r="C37" s="54" t="s">
        <v>543</v>
      </c>
      <c r="D37" s="54" t="s">
        <v>474</v>
      </c>
      <c r="E37" s="54" t="s">
        <v>544</v>
      </c>
    </row>
    <row r="38" spans="1:5" ht="28.2" thickBot="1" x14ac:dyDescent="0.35">
      <c r="A38" s="54" t="s">
        <v>545</v>
      </c>
      <c r="B38" s="54" t="s">
        <v>546</v>
      </c>
      <c r="C38" s="54" t="s">
        <v>547</v>
      </c>
      <c r="D38" s="54" t="s">
        <v>474</v>
      </c>
      <c r="E38" s="54" t="s">
        <v>548</v>
      </c>
    </row>
    <row r="39" spans="1:5" ht="28.2" thickBot="1" x14ac:dyDescent="0.35">
      <c r="A39" s="54" t="s">
        <v>549</v>
      </c>
      <c r="B39" s="54" t="s">
        <v>550</v>
      </c>
      <c r="C39" s="54" t="s">
        <v>551</v>
      </c>
      <c r="D39" s="54" t="s">
        <v>474</v>
      </c>
      <c r="E39" s="54" t="s">
        <v>552</v>
      </c>
    </row>
    <row r="40" spans="1:5" ht="28.2" thickBot="1" x14ac:dyDescent="0.35">
      <c r="A40" s="54" t="s">
        <v>553</v>
      </c>
      <c r="B40" s="54" t="s">
        <v>554</v>
      </c>
      <c r="C40" s="54" t="s">
        <v>555</v>
      </c>
      <c r="D40" s="54" t="s">
        <v>474</v>
      </c>
      <c r="E40" s="54" t="s">
        <v>556</v>
      </c>
    </row>
    <row r="41" spans="1:5" ht="15" thickBot="1" x14ac:dyDescent="0.35">
      <c r="A41" s="54" t="s">
        <v>557</v>
      </c>
      <c r="B41" s="54" t="s">
        <v>558</v>
      </c>
      <c r="C41" s="54" t="s">
        <v>559</v>
      </c>
      <c r="D41" s="54" t="s">
        <v>478</v>
      </c>
      <c r="E41" s="54" t="s">
        <v>560</v>
      </c>
    </row>
    <row r="42" spans="1:5" ht="28.2" thickBot="1" x14ac:dyDescent="0.35">
      <c r="A42" s="54" t="s">
        <v>561</v>
      </c>
      <c r="B42" s="54" t="s">
        <v>561</v>
      </c>
      <c r="C42" s="54" t="s">
        <v>562</v>
      </c>
      <c r="D42" s="54" t="s">
        <v>478</v>
      </c>
      <c r="E42" s="54" t="s">
        <v>563</v>
      </c>
    </row>
    <row r="43" spans="1:5" ht="15" thickBot="1" x14ac:dyDescent="0.35">
      <c r="A43" s="54" t="s">
        <v>564</v>
      </c>
      <c r="B43" s="54" t="s">
        <v>565</v>
      </c>
      <c r="C43" s="54" t="s">
        <v>566</v>
      </c>
      <c r="D43" s="54" t="s">
        <v>474</v>
      </c>
      <c r="E43" s="54" t="s">
        <v>567</v>
      </c>
    </row>
    <row r="44" spans="1:5" ht="28.2" thickBot="1" x14ac:dyDescent="0.35">
      <c r="A44" s="54" t="s">
        <v>568</v>
      </c>
      <c r="B44" s="54" t="s">
        <v>568</v>
      </c>
      <c r="C44" s="54" t="s">
        <v>569</v>
      </c>
      <c r="D44" s="54" t="s">
        <v>474</v>
      </c>
      <c r="E44" s="54" t="s">
        <v>570</v>
      </c>
    </row>
    <row r="45" spans="1:5" ht="28.2" thickBot="1" x14ac:dyDescent="0.35">
      <c r="A45" s="54" t="s">
        <v>571</v>
      </c>
      <c r="B45" s="54" t="s">
        <v>572</v>
      </c>
      <c r="C45" s="54" t="s">
        <v>573</v>
      </c>
      <c r="D45" s="54" t="s">
        <v>474</v>
      </c>
      <c r="E45" s="54" t="s">
        <v>574</v>
      </c>
    </row>
    <row r="46" spans="1:5" ht="28.2" thickBot="1" x14ac:dyDescent="0.35">
      <c r="A46" s="54" t="s">
        <v>575</v>
      </c>
      <c r="B46" s="54" t="s">
        <v>576</v>
      </c>
      <c r="C46" s="54" t="s">
        <v>577</v>
      </c>
      <c r="D46" s="54" t="s">
        <v>578</v>
      </c>
      <c r="E46" s="54" t="s">
        <v>579</v>
      </c>
    </row>
    <row r="47" spans="1:5" ht="15" thickBot="1" x14ac:dyDescent="0.35">
      <c r="A47" s="54" t="s">
        <v>580</v>
      </c>
      <c r="B47" s="54" t="s">
        <v>581</v>
      </c>
      <c r="C47" s="54" t="s">
        <v>582</v>
      </c>
      <c r="D47" s="54" t="s">
        <v>478</v>
      </c>
      <c r="E47" s="54" t="s">
        <v>583</v>
      </c>
    </row>
    <row r="48" spans="1:5" ht="28.2" thickBot="1" x14ac:dyDescent="0.35">
      <c r="A48" s="54" t="s">
        <v>10</v>
      </c>
      <c r="B48" s="54" t="s">
        <v>10</v>
      </c>
      <c r="C48" s="54" t="s">
        <v>584</v>
      </c>
      <c r="D48" s="54" t="s">
        <v>578</v>
      </c>
      <c r="E48" s="54" t="s">
        <v>585</v>
      </c>
    </row>
    <row r="49" spans="1:5" ht="15" thickBot="1" x14ac:dyDescent="0.35">
      <c r="A49" s="54" t="s">
        <v>586</v>
      </c>
      <c r="B49" s="54" t="s">
        <v>586</v>
      </c>
      <c r="C49" s="54" t="s">
        <v>587</v>
      </c>
      <c r="D49" s="54" t="s">
        <v>578</v>
      </c>
      <c r="E49" s="54" t="s">
        <v>588</v>
      </c>
    </row>
    <row r="50" spans="1:5" ht="15" thickBot="1" x14ac:dyDescent="0.35">
      <c r="A50" s="54" t="s">
        <v>589</v>
      </c>
      <c r="B50" s="54" t="s">
        <v>590</v>
      </c>
      <c r="C50" s="54" t="s">
        <v>591</v>
      </c>
      <c r="D50" s="54" t="s">
        <v>578</v>
      </c>
      <c r="E50" s="54" t="s">
        <v>592</v>
      </c>
    </row>
    <row r="51" spans="1:5" ht="28.2" thickBot="1" x14ac:dyDescent="0.35">
      <c r="A51" s="54" t="s">
        <v>593</v>
      </c>
      <c r="B51" s="54" t="s">
        <v>593</v>
      </c>
      <c r="C51" s="54" t="s">
        <v>594</v>
      </c>
      <c r="D51" s="54" t="s">
        <v>578</v>
      </c>
      <c r="E51" s="54" t="s">
        <v>595</v>
      </c>
    </row>
    <row r="52" spans="1:5" ht="15" thickBot="1" x14ac:dyDescent="0.35">
      <c r="A52" s="54" t="s">
        <v>596</v>
      </c>
      <c r="B52" s="54" t="s">
        <v>596</v>
      </c>
      <c r="C52" s="54" t="s">
        <v>597</v>
      </c>
      <c r="D52" s="54" t="s">
        <v>578</v>
      </c>
      <c r="E52" s="54" t="s">
        <v>598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0"/>
  <sheetViews>
    <sheetView zoomScale="125" zoomScaleNormal="125" workbookViewId="0">
      <selection activeCell="A40" sqref="A1:A40"/>
    </sheetView>
  </sheetViews>
  <sheetFormatPr baseColWidth="10" defaultRowHeight="14.4" x14ac:dyDescent="0.3"/>
  <cols>
    <col min="1" max="1" width="25.77734375" customWidth="1"/>
    <col min="2" max="2" width="22.77734375" customWidth="1"/>
    <col min="3" max="3" width="11.5546875" style="136"/>
    <col min="4" max="4" width="22.88671875" style="136" customWidth="1"/>
    <col min="5" max="5" width="33.88671875" customWidth="1"/>
    <col min="6" max="6" width="37.44140625" customWidth="1"/>
  </cols>
  <sheetData>
    <row r="1" spans="1:6" ht="15" thickBot="1" x14ac:dyDescent="0.35">
      <c r="A1" s="17" t="s">
        <v>1</v>
      </c>
      <c r="B1" s="17" t="s">
        <v>430</v>
      </c>
      <c r="C1" s="17" t="s">
        <v>630</v>
      </c>
      <c r="D1" s="17" t="s">
        <v>631</v>
      </c>
      <c r="E1" s="17" t="s">
        <v>632</v>
      </c>
      <c r="F1" s="155" t="s">
        <v>906</v>
      </c>
    </row>
    <row r="2" spans="1:6" ht="15" hidden="1" thickBot="1" x14ac:dyDescent="0.35">
      <c r="A2" s="21" t="str">
        <f>+INDEX(Categories[Parameter],ROW(B1))</f>
        <v>Product Name</v>
      </c>
      <c r="B2" s="57" t="s">
        <v>599</v>
      </c>
      <c r="C2" s="144" t="s">
        <v>615</v>
      </c>
      <c r="D2" s="144" t="s">
        <v>615</v>
      </c>
      <c r="E2" s="56" t="s">
        <v>633</v>
      </c>
      <c r="F2" s="133"/>
    </row>
    <row r="3" spans="1:6" ht="15" hidden="1" thickBot="1" x14ac:dyDescent="0.35">
      <c r="A3" s="21" t="str">
        <f>+INDEX(Categories[Parameter],ROW(B2))</f>
        <v>Product ID</v>
      </c>
      <c r="B3" s="59" t="s">
        <v>600</v>
      </c>
      <c r="C3" s="144" t="s">
        <v>634</v>
      </c>
      <c r="D3" s="144" t="s">
        <v>615</v>
      </c>
      <c r="E3" s="58" t="s">
        <v>635</v>
      </c>
      <c r="F3" s="133"/>
    </row>
    <row r="4" spans="1:6" ht="43.8" hidden="1" thickBot="1" x14ac:dyDescent="0.35">
      <c r="A4" s="21" t="str">
        <f>+INDEX(Categories[Parameter],ROW(B3))</f>
        <v>Product Image</v>
      </c>
      <c r="B4" s="80" t="s">
        <v>899</v>
      </c>
      <c r="C4" s="144" t="s">
        <v>615</v>
      </c>
      <c r="D4" s="144" t="s">
        <v>615</v>
      </c>
      <c r="E4" s="145" t="s">
        <v>900</v>
      </c>
      <c r="F4" s="133"/>
    </row>
    <row r="5" spans="1:6" ht="15" hidden="1" thickBot="1" x14ac:dyDescent="0.35">
      <c r="A5" s="21" t="str">
        <f>+INDEX(Categories[Parameter],ROW(B4))</f>
        <v>Object number</v>
      </c>
      <c r="B5" s="145"/>
      <c r="C5" s="144" t="s">
        <v>636</v>
      </c>
      <c r="D5" s="144" t="s">
        <v>615</v>
      </c>
      <c r="E5" s="145" t="s">
        <v>17</v>
      </c>
      <c r="F5" s="133"/>
    </row>
    <row r="6" spans="1:6" ht="42" hidden="1" thickBot="1" x14ac:dyDescent="0.35">
      <c r="A6" s="21" t="str">
        <f>+INDEX(Categories[Parameter],ROW(B5))</f>
        <v>Material Type</v>
      </c>
      <c r="B6" s="145" t="s">
        <v>601</v>
      </c>
      <c r="C6" s="144" t="s">
        <v>615</v>
      </c>
      <c r="D6" s="144" t="s">
        <v>637</v>
      </c>
      <c r="E6" s="145" t="s">
        <v>638</v>
      </c>
      <c r="F6" s="133"/>
    </row>
    <row r="7" spans="1:6" ht="28.2" hidden="1" thickBot="1" x14ac:dyDescent="0.35">
      <c r="A7" s="21" t="str">
        <f>+INDEX(Categories[Parameter],ROW(B6))</f>
        <v xml:space="preserve">Manufacturer </v>
      </c>
      <c r="B7" s="145" t="s">
        <v>602</v>
      </c>
      <c r="C7" s="144" t="s">
        <v>615</v>
      </c>
      <c r="D7" s="144" t="s">
        <v>615</v>
      </c>
      <c r="E7" s="145" t="s">
        <v>635</v>
      </c>
      <c r="F7" s="133"/>
    </row>
    <row r="8" spans="1:6" ht="29.4" hidden="1" thickBot="1" x14ac:dyDescent="0.35">
      <c r="A8" s="21" t="str">
        <f>+INDEX(Categories[Parameter],ROW(B7))</f>
        <v xml:space="preserve">Link Manufacturer </v>
      </c>
      <c r="B8" s="80" t="s">
        <v>901</v>
      </c>
      <c r="C8" s="144" t="s">
        <v>615</v>
      </c>
      <c r="D8" s="144" t="s">
        <v>615</v>
      </c>
      <c r="E8" s="145" t="s">
        <v>900</v>
      </c>
      <c r="F8" s="133"/>
    </row>
    <row r="9" spans="1:6" ht="15" hidden="1" thickBot="1" x14ac:dyDescent="0.35">
      <c r="A9" s="21" t="str">
        <f>+INDEX(Categories[Parameter],ROW(B8))</f>
        <v>Distributor</v>
      </c>
      <c r="B9" s="145" t="s">
        <v>768</v>
      </c>
      <c r="C9" s="144" t="s">
        <v>615</v>
      </c>
      <c r="D9" s="144" t="s">
        <v>768</v>
      </c>
      <c r="E9" s="145"/>
      <c r="F9" s="133"/>
    </row>
    <row r="10" spans="1:6" ht="15" hidden="1" thickBot="1" x14ac:dyDescent="0.35">
      <c r="A10" s="21" t="str">
        <f>+INDEX(Categories[Parameter],ROW(B9))</f>
        <v>Link Distributor</v>
      </c>
      <c r="B10" s="145" t="s">
        <v>768</v>
      </c>
      <c r="C10" s="144" t="s">
        <v>615</v>
      </c>
      <c r="D10" s="144" t="s">
        <v>768</v>
      </c>
      <c r="E10" s="145"/>
      <c r="F10" s="133"/>
    </row>
    <row r="11" spans="1:6" ht="15" hidden="1" thickBot="1" x14ac:dyDescent="0.35">
      <c r="A11" s="21" t="str">
        <f>+INDEX(Categories[Parameter],ROW(B10))</f>
        <v>Supplier</v>
      </c>
      <c r="B11" s="145" t="s">
        <v>768</v>
      </c>
      <c r="C11" s="144" t="s">
        <v>615</v>
      </c>
      <c r="D11" s="144" t="s">
        <v>768</v>
      </c>
      <c r="E11" s="145"/>
      <c r="F11" s="133"/>
    </row>
    <row r="12" spans="1:6" ht="15" hidden="1" thickBot="1" x14ac:dyDescent="0.35">
      <c r="A12" s="21" t="str">
        <f>+INDEX(Categories[Parameter],ROW(B11))</f>
        <v>Link Supplier</v>
      </c>
      <c r="B12" s="145" t="s">
        <v>768</v>
      </c>
      <c r="C12" s="144" t="s">
        <v>615</v>
      </c>
      <c r="D12" s="144" t="s">
        <v>768</v>
      </c>
      <c r="E12" s="145"/>
      <c r="F12" s="133"/>
    </row>
    <row r="13" spans="1:6" ht="15" hidden="1" thickBot="1" x14ac:dyDescent="0.35">
      <c r="A13" s="21" t="str">
        <f>+INDEX(Categories[Parameter],ROW(B12))</f>
        <v>Transportation Route</v>
      </c>
      <c r="B13" s="145"/>
      <c r="C13" s="144"/>
      <c r="D13" s="144"/>
      <c r="E13" s="145"/>
      <c r="F13" s="133"/>
    </row>
    <row r="14" spans="1:6" ht="28.2" hidden="1" thickBot="1" x14ac:dyDescent="0.35">
      <c r="A14" s="21" t="str">
        <f>+INDEX(Categories[Parameter],ROW(B13))</f>
        <v>Traceability ID</v>
      </c>
      <c r="B14" s="145" t="s">
        <v>903</v>
      </c>
      <c r="C14" s="144" t="s">
        <v>902</v>
      </c>
      <c r="D14" s="144" t="s">
        <v>904</v>
      </c>
      <c r="E14" s="145" t="s">
        <v>905</v>
      </c>
      <c r="F14" s="133"/>
    </row>
    <row r="15" spans="1:6" ht="15" hidden="1" thickBot="1" x14ac:dyDescent="0.35">
      <c r="A15" s="21" t="str">
        <f>+INDEX(Categories[Parameter],ROW(B14))</f>
        <v>Origin</v>
      </c>
      <c r="B15" s="145" t="s">
        <v>603</v>
      </c>
      <c r="C15" s="144" t="s">
        <v>615</v>
      </c>
      <c r="D15" s="144" t="s">
        <v>615</v>
      </c>
      <c r="E15" s="145" t="s">
        <v>635</v>
      </c>
      <c r="F15" s="133"/>
    </row>
    <row r="16" spans="1:6" ht="15" hidden="1" thickBot="1" x14ac:dyDescent="0.35">
      <c r="A16" s="21" t="str">
        <f>+INDEX(Categories[Parameter],ROW(B15))</f>
        <v>Version number</v>
      </c>
      <c r="B16" s="61" t="s">
        <v>604</v>
      </c>
      <c r="C16" s="144" t="s">
        <v>639</v>
      </c>
      <c r="D16" s="144" t="s">
        <v>640</v>
      </c>
      <c r="E16" s="60" t="s">
        <v>641</v>
      </c>
      <c r="F16" s="133"/>
    </row>
    <row r="17" spans="1:6" ht="28.2" hidden="1" thickBot="1" x14ac:dyDescent="0.35">
      <c r="A17" s="21" t="str">
        <f>+INDEX(Categories[Parameter],ROW(B16))</f>
        <v>Material</v>
      </c>
      <c r="B17" s="63" t="s">
        <v>605</v>
      </c>
      <c r="C17" s="144" t="s">
        <v>615</v>
      </c>
      <c r="D17" s="144" t="s">
        <v>615</v>
      </c>
      <c r="E17" s="62" t="s">
        <v>17</v>
      </c>
      <c r="F17" s="133"/>
    </row>
    <row r="18" spans="1:6" ht="55.8" hidden="1" thickBot="1" x14ac:dyDescent="0.35">
      <c r="A18" s="21" t="str">
        <f>+INDEX(Categories[Parameter],ROW(B17))</f>
        <v>Component</v>
      </c>
      <c r="B18" s="141" t="s">
        <v>775</v>
      </c>
      <c r="C18" s="144" t="s">
        <v>615</v>
      </c>
      <c r="D18" s="144" t="s">
        <v>615</v>
      </c>
      <c r="E18" s="154"/>
      <c r="F18" s="133"/>
    </row>
    <row r="19" spans="1:6" ht="42" hidden="1" thickBot="1" x14ac:dyDescent="0.35">
      <c r="A19" s="21" t="str">
        <f>+INDEX(Categories[Parameter],ROW(B18))</f>
        <v>Composition</v>
      </c>
      <c r="B19" s="65" t="s">
        <v>606</v>
      </c>
      <c r="C19" s="144" t="s">
        <v>615</v>
      </c>
      <c r="D19" s="144" t="s">
        <v>642</v>
      </c>
      <c r="E19" s="64" t="s">
        <v>643</v>
      </c>
      <c r="F19" s="133"/>
    </row>
    <row r="20" spans="1:6" ht="55.8" hidden="1" thickBot="1" x14ac:dyDescent="0.35">
      <c r="A20" s="21" t="str">
        <f>+INDEX(Categories[Parameter],ROW(B19))</f>
        <v>Dimensions</v>
      </c>
      <c r="B20" s="67" t="s">
        <v>607</v>
      </c>
      <c r="C20" s="144" t="s">
        <v>644</v>
      </c>
      <c r="D20" s="144" t="s">
        <v>645</v>
      </c>
      <c r="E20" s="66" t="s">
        <v>646</v>
      </c>
      <c r="F20" s="133"/>
    </row>
    <row r="21" spans="1:6" ht="28.2" hidden="1" thickBot="1" x14ac:dyDescent="0.35">
      <c r="A21" s="21" t="str">
        <f>+INDEX(Categories[Parameter],ROW(B20))</f>
        <v>Height</v>
      </c>
      <c r="B21" s="67">
        <v>200</v>
      </c>
      <c r="C21" s="144" t="s">
        <v>647</v>
      </c>
      <c r="D21" s="144" t="s">
        <v>648</v>
      </c>
      <c r="E21" s="66" t="s">
        <v>649</v>
      </c>
      <c r="F21" s="133"/>
    </row>
    <row r="22" spans="1:6" ht="28.2" hidden="1" thickBot="1" x14ac:dyDescent="0.35">
      <c r="A22" s="21" t="str">
        <f>+INDEX(Categories[Parameter],ROW(B21))</f>
        <v>Length</v>
      </c>
      <c r="B22" s="67">
        <v>80</v>
      </c>
      <c r="C22" s="144" t="s">
        <v>647</v>
      </c>
      <c r="D22" s="144" t="s">
        <v>650</v>
      </c>
      <c r="E22" s="66" t="s">
        <v>649</v>
      </c>
      <c r="F22" s="133"/>
    </row>
    <row r="23" spans="1:6" ht="28.2" hidden="1" thickBot="1" x14ac:dyDescent="0.35">
      <c r="A23" s="21" t="str">
        <f>+INDEX(Categories[Parameter],ROW(B22))</f>
        <v>Width</v>
      </c>
      <c r="B23" s="67">
        <v>500</v>
      </c>
      <c r="C23" s="144" t="s">
        <v>647</v>
      </c>
      <c r="D23" s="144" t="s">
        <v>651</v>
      </c>
      <c r="E23" s="66" t="s">
        <v>649</v>
      </c>
      <c r="F23" s="133"/>
    </row>
    <row r="24" spans="1:6" ht="15" hidden="1" thickBot="1" x14ac:dyDescent="0.35">
      <c r="A24" s="21" t="str">
        <f>+INDEX(Categories[Parameter],ROW(B23))</f>
        <v>Volume</v>
      </c>
      <c r="B24" s="69">
        <v>8.0000000000000002E-3</v>
      </c>
      <c r="C24" s="144" t="s">
        <v>615</v>
      </c>
      <c r="D24" s="144" t="s">
        <v>652</v>
      </c>
      <c r="E24" s="68" t="s">
        <v>93</v>
      </c>
      <c r="F24" s="133" t="s">
        <v>917</v>
      </c>
    </row>
    <row r="25" spans="1:6" ht="15" hidden="1" thickBot="1" x14ac:dyDescent="0.35">
      <c r="A25" s="21" t="str">
        <f>+INDEX(Categories[Parameter],ROW(B24))</f>
        <v>Dry density</v>
      </c>
      <c r="B25" s="69">
        <v>335</v>
      </c>
      <c r="C25" s="144" t="s">
        <v>653</v>
      </c>
      <c r="D25" s="144" t="s">
        <v>654</v>
      </c>
      <c r="E25" s="68" t="s">
        <v>655</v>
      </c>
      <c r="F25" s="133"/>
    </row>
    <row r="26" spans="1:6" ht="15" hidden="1" thickBot="1" x14ac:dyDescent="0.35">
      <c r="A26" s="21" t="str">
        <f>+INDEX(Categories[Parameter],ROW(B25))</f>
        <v>Equilibrium density</v>
      </c>
      <c r="B26" s="69">
        <v>405</v>
      </c>
      <c r="C26" s="144" t="s">
        <v>653</v>
      </c>
      <c r="D26" s="144" t="s">
        <v>656</v>
      </c>
      <c r="E26" s="68" t="s">
        <v>655</v>
      </c>
      <c r="F26" s="133"/>
    </row>
    <row r="27" spans="1:6" ht="15" hidden="1" thickBot="1" x14ac:dyDescent="0.35">
      <c r="A27" s="21" t="str">
        <f>+INDEX(Categories[Parameter],ROW(B26))</f>
        <v>Weight</v>
      </c>
      <c r="B27" s="69">
        <v>2.68</v>
      </c>
      <c r="C27" s="144" t="s">
        <v>657</v>
      </c>
      <c r="D27" s="121" t="s">
        <v>658</v>
      </c>
      <c r="E27" s="68" t="s">
        <v>93</v>
      </c>
      <c r="F27" s="133" t="s">
        <v>915</v>
      </c>
    </row>
    <row r="28" spans="1:6" ht="42" hidden="1" thickBot="1" x14ac:dyDescent="0.35">
      <c r="A28" s="21" t="str">
        <f>+INDEX(Categories[Parameter],ROW(B27))</f>
        <v>Compressive strength</v>
      </c>
      <c r="B28" s="71">
        <v>0.5</v>
      </c>
      <c r="C28" s="144" t="s">
        <v>659</v>
      </c>
      <c r="D28" s="144" t="s">
        <v>660</v>
      </c>
      <c r="E28" s="70" t="s">
        <v>661</v>
      </c>
      <c r="F28" s="133"/>
    </row>
    <row r="29" spans="1:6" ht="28.2" hidden="1" thickBot="1" x14ac:dyDescent="0.35">
      <c r="A29" s="21" t="str">
        <f>+INDEX(Categories[Parameter],ROW(B28))</f>
        <v>Shear strength</v>
      </c>
      <c r="B29" s="71">
        <v>0.12</v>
      </c>
      <c r="C29" s="144" t="s">
        <v>659</v>
      </c>
      <c r="D29" s="144" t="s">
        <v>662</v>
      </c>
      <c r="E29" s="70" t="s">
        <v>663</v>
      </c>
      <c r="F29" s="133"/>
    </row>
    <row r="30" spans="1:6" ht="28.2" hidden="1" thickBot="1" x14ac:dyDescent="0.35">
      <c r="A30" s="21" t="str">
        <f>+INDEX(Categories[Parameter],ROW(B29))</f>
        <v>Thermal conductivity</v>
      </c>
      <c r="B30" s="126">
        <v>7.0000000000000007E-2</v>
      </c>
      <c r="C30" s="144" t="s">
        <v>754</v>
      </c>
      <c r="D30" s="144" t="s">
        <v>755</v>
      </c>
      <c r="E30" s="125" t="s">
        <v>756</v>
      </c>
      <c r="F30" s="133"/>
    </row>
    <row r="31" spans="1:6" ht="15" hidden="1" thickBot="1" x14ac:dyDescent="0.35">
      <c r="A31" s="21" t="str">
        <f>+INDEX(Categories[Parameter],ROW(B30))</f>
        <v>Heat transfer coefficient</v>
      </c>
      <c r="B31" s="126">
        <v>0.76</v>
      </c>
      <c r="C31" s="144" t="s">
        <v>757</v>
      </c>
      <c r="D31" s="144" t="s">
        <v>758</v>
      </c>
      <c r="E31" s="125" t="s">
        <v>633</v>
      </c>
      <c r="F31" s="133"/>
    </row>
    <row r="32" spans="1:6" ht="15" hidden="1" thickBot="1" x14ac:dyDescent="0.35">
      <c r="A32" s="21" t="str">
        <f>+INDEX(Categories[Parameter],ROW(B31))</f>
        <v>Sprecific heat capacity</v>
      </c>
      <c r="B32" s="126">
        <v>1870</v>
      </c>
      <c r="C32" s="144" t="s">
        <v>759</v>
      </c>
      <c r="D32" s="144"/>
      <c r="E32" s="125" t="s">
        <v>633</v>
      </c>
      <c r="F32" s="133"/>
    </row>
    <row r="33" spans="1:6" ht="15" hidden="1" thickBot="1" x14ac:dyDescent="0.35">
      <c r="A33" s="21" t="str">
        <f>+INDEX(Categories[Parameter],ROW(B32))</f>
        <v>Phase shift</v>
      </c>
      <c r="B33" s="127">
        <v>0.13125000000000001</v>
      </c>
      <c r="C33" s="144" t="s">
        <v>760</v>
      </c>
      <c r="D33" s="144" t="s">
        <v>761</v>
      </c>
      <c r="E33" s="125" t="s">
        <v>633</v>
      </c>
      <c r="F33" s="133"/>
    </row>
    <row r="34" spans="1:6" ht="15" hidden="1" thickBot="1" x14ac:dyDescent="0.35">
      <c r="A34" s="21" t="str">
        <f>+INDEX(Categories[Parameter],ROW(B33))</f>
        <v>Moisture Buffer Value</v>
      </c>
      <c r="B34" s="126">
        <v>2.35</v>
      </c>
      <c r="C34" s="144" t="s">
        <v>762</v>
      </c>
      <c r="D34" s="144" t="s">
        <v>763</v>
      </c>
      <c r="E34" s="125" t="s">
        <v>646</v>
      </c>
      <c r="F34" s="133"/>
    </row>
    <row r="35" spans="1:6" ht="28.2" hidden="1" thickBot="1" x14ac:dyDescent="0.35">
      <c r="A35" s="21" t="str">
        <f>+INDEX(Categories[Parameter],ROW(B34))</f>
        <v>Water vapour diffusion
resistance when wet</v>
      </c>
      <c r="B35" s="73">
        <v>3.8</v>
      </c>
      <c r="C35" s="144" t="s">
        <v>664</v>
      </c>
      <c r="D35" s="144" t="s">
        <v>665</v>
      </c>
      <c r="E35" s="72" t="s">
        <v>666</v>
      </c>
      <c r="F35" s="133"/>
    </row>
    <row r="36" spans="1:6" ht="28.2" hidden="1" thickBot="1" x14ac:dyDescent="0.35">
      <c r="A36" s="21" t="str">
        <f>+INDEX(Categories[Parameter],ROW(B35))</f>
        <v>Water vapour diffusion
resistance when dry</v>
      </c>
      <c r="B36" s="73">
        <v>4.3</v>
      </c>
      <c r="C36" s="144" t="s">
        <v>664</v>
      </c>
      <c r="D36" s="144" t="s">
        <v>667</v>
      </c>
      <c r="E36" s="72" t="s">
        <v>666</v>
      </c>
      <c r="F36" s="133"/>
    </row>
    <row r="37" spans="1:6" ht="28.2" hidden="1" thickBot="1" x14ac:dyDescent="0.35">
      <c r="A37" s="21" t="str">
        <f>+INDEX(Categories[Parameter],ROW(B36))</f>
        <v>Water vapour absorption resistance</v>
      </c>
      <c r="B37" s="73">
        <v>19</v>
      </c>
      <c r="C37" s="144" t="s">
        <v>668</v>
      </c>
      <c r="D37" s="144" t="s">
        <v>615</v>
      </c>
      <c r="E37" s="72" t="s">
        <v>633</v>
      </c>
      <c r="F37" s="133"/>
    </row>
    <row r="38" spans="1:6" ht="15" hidden="1" thickBot="1" x14ac:dyDescent="0.35">
      <c r="A38" s="21" t="str">
        <f>+INDEX(Categories[Parameter],ROW(B37))</f>
        <v>Standard compliance</v>
      </c>
      <c r="B38" s="73" t="s">
        <v>608</v>
      </c>
      <c r="C38" s="144" t="s">
        <v>615</v>
      </c>
      <c r="D38" s="144" t="s">
        <v>669</v>
      </c>
      <c r="E38" s="72" t="s">
        <v>635</v>
      </c>
      <c r="F38" s="133"/>
    </row>
    <row r="39" spans="1:6" ht="55.8" hidden="1" thickBot="1" x14ac:dyDescent="0.35">
      <c r="A39" s="21" t="str">
        <f>+INDEX(Categories[Parameter],ROW(B38))</f>
        <v>Connection Type</v>
      </c>
      <c r="B39" s="129" t="s">
        <v>764</v>
      </c>
      <c r="C39" s="144" t="s">
        <v>615</v>
      </c>
      <c r="D39" s="144" t="s">
        <v>765</v>
      </c>
      <c r="E39" s="130" t="s">
        <v>766</v>
      </c>
      <c r="F39" s="133"/>
    </row>
    <row r="40" spans="1:6" ht="15" thickBot="1" x14ac:dyDescent="0.35">
      <c r="A40" s="21" t="str">
        <f>+INDEX(Categories[Parameter],ROW(B39))</f>
        <v>Connection Score</v>
      </c>
      <c r="B40" s="129">
        <v>0.3</v>
      </c>
      <c r="C40" s="144" t="s">
        <v>671</v>
      </c>
      <c r="D40" s="144" t="s">
        <v>767</v>
      </c>
      <c r="E40" s="128" t="s">
        <v>34</v>
      </c>
      <c r="F40" s="133"/>
    </row>
    <row r="41" spans="1:6" ht="15" thickBot="1" x14ac:dyDescent="0.35">
      <c r="A41" s="21" t="str">
        <f>+INDEX(Categories[Parameter],ROW(B40))</f>
        <v xml:space="preserve">Prefabrication </v>
      </c>
      <c r="B41" s="75" t="s">
        <v>608</v>
      </c>
      <c r="C41" s="144" t="s">
        <v>615</v>
      </c>
      <c r="D41" s="144" t="s">
        <v>669</v>
      </c>
      <c r="E41" s="74" t="s">
        <v>670</v>
      </c>
      <c r="F41" s="133"/>
    </row>
    <row r="42" spans="1:6" ht="15" thickBot="1" x14ac:dyDescent="0.35">
      <c r="A42" s="21" t="str">
        <f>+INDEX(Categories[Parameter],ROW(B41))</f>
        <v>Prefabrication factor</v>
      </c>
      <c r="B42" s="75">
        <v>1</v>
      </c>
      <c r="C42" s="144" t="s">
        <v>671</v>
      </c>
      <c r="D42" s="144" t="s">
        <v>672</v>
      </c>
      <c r="E42" s="74" t="s">
        <v>673</v>
      </c>
      <c r="F42" s="133" t="s">
        <v>933</v>
      </c>
    </row>
    <row r="43" spans="1:6" ht="15" thickBot="1" x14ac:dyDescent="0.35">
      <c r="A43" s="21" t="str">
        <f>+INDEX(Categories[Parameter],ROW(B42))</f>
        <v>Deconstructability score</v>
      </c>
      <c r="B43" s="75">
        <v>0.5</v>
      </c>
      <c r="C43" s="144" t="s">
        <v>671</v>
      </c>
      <c r="D43" s="144" t="s">
        <v>674</v>
      </c>
      <c r="E43" s="74" t="s">
        <v>673</v>
      </c>
      <c r="F43" s="133" t="s">
        <v>916</v>
      </c>
    </row>
    <row r="44" spans="1:6" ht="15" thickBot="1" x14ac:dyDescent="0.35">
      <c r="A44" s="21" t="str">
        <f>+INDEX(Categories[Parameter],ROW(B43))</f>
        <v>Recycling potential</v>
      </c>
      <c r="B44" s="75">
        <v>100</v>
      </c>
      <c r="C44" s="144" t="s">
        <v>675</v>
      </c>
      <c r="D44" s="144" t="s">
        <v>676</v>
      </c>
      <c r="E44" s="74" t="s">
        <v>646</v>
      </c>
      <c r="F44" s="133"/>
    </row>
    <row r="45" spans="1:6" ht="15" thickBot="1" x14ac:dyDescent="0.35">
      <c r="A45" s="21" t="str">
        <f>+INDEX(Categories[Parameter],ROW(B44))</f>
        <v xml:space="preserve">Reusability </v>
      </c>
      <c r="B45" s="75" t="s">
        <v>609</v>
      </c>
      <c r="C45" s="144" t="s">
        <v>615</v>
      </c>
      <c r="D45" s="144" t="s">
        <v>669</v>
      </c>
      <c r="E45" s="74" t="s">
        <v>655</v>
      </c>
      <c r="F45" s="133"/>
    </row>
    <row r="46" spans="1:6" ht="15" thickBot="1" x14ac:dyDescent="0.35">
      <c r="A46" s="21" t="str">
        <f>+INDEX(Categories[Parameter],ROW(B45))</f>
        <v>Reusability potential</v>
      </c>
      <c r="B46" s="75">
        <v>0</v>
      </c>
      <c r="C46" s="144" t="s">
        <v>671</v>
      </c>
      <c r="D46" s="144" t="s">
        <v>677</v>
      </c>
      <c r="E46" s="74" t="s">
        <v>673</v>
      </c>
      <c r="F46" s="133" t="s">
        <v>932</v>
      </c>
    </row>
    <row r="47" spans="1:6" ht="28.2" thickBot="1" x14ac:dyDescent="0.35">
      <c r="A47" s="21" t="str">
        <f>+INDEX(Categories[Parameter],ROW(B46))</f>
        <v>Recovery score</v>
      </c>
      <c r="B47" s="75">
        <v>0.5</v>
      </c>
      <c r="C47" s="144" t="s">
        <v>671</v>
      </c>
      <c r="D47" s="144" t="s">
        <v>674</v>
      </c>
      <c r="E47" s="74" t="s">
        <v>673</v>
      </c>
      <c r="F47" s="133" t="s">
        <v>918</v>
      </c>
    </row>
    <row r="48" spans="1:6" ht="28.2" thickBot="1" x14ac:dyDescent="0.35">
      <c r="A48" s="21" t="str">
        <f>+INDEX(Categories[Parameter],ROW(B47))</f>
        <v>Disassembly potential</v>
      </c>
      <c r="B48" s="75">
        <v>3</v>
      </c>
      <c r="C48" s="144" t="s">
        <v>671</v>
      </c>
      <c r="D48" s="144" t="s">
        <v>678</v>
      </c>
      <c r="E48" s="74" t="s">
        <v>679</v>
      </c>
      <c r="F48" s="133"/>
    </row>
    <row r="49" spans="1:6" ht="83.4" thickBot="1" x14ac:dyDescent="0.35">
      <c r="A49" s="21" t="str">
        <f>+INDEX(Categories[Parameter],ROW(B48))</f>
        <v>Disassembly instructions</v>
      </c>
      <c r="B49" s="77" t="s">
        <v>610</v>
      </c>
      <c r="C49" s="144" t="s">
        <v>615</v>
      </c>
      <c r="D49" s="144" t="s">
        <v>680</v>
      </c>
      <c r="E49" s="76" t="s">
        <v>681</v>
      </c>
      <c r="F49" s="133"/>
    </row>
    <row r="50" spans="1:6" ht="111" thickBot="1" x14ac:dyDescent="0.35">
      <c r="A50" s="21" t="str">
        <f>+INDEX(Categories[Parameter],ROW(B49))</f>
        <v>Secondary use scenarios</v>
      </c>
      <c r="B50" s="77" t="s">
        <v>611</v>
      </c>
      <c r="C50" s="144" t="s">
        <v>615</v>
      </c>
      <c r="D50" s="144" t="s">
        <v>682</v>
      </c>
      <c r="E50" s="76" t="s">
        <v>683</v>
      </c>
      <c r="F50" s="133"/>
    </row>
    <row r="51" spans="1:6" ht="55.8" thickBot="1" x14ac:dyDescent="0.35">
      <c r="A51" s="21" t="str">
        <f>+INDEX(Categories[Parameter],ROW(B50))</f>
        <v>End-of-life recommendation</v>
      </c>
      <c r="B51" s="76" t="s">
        <v>612</v>
      </c>
      <c r="C51" s="144" t="s">
        <v>615</v>
      </c>
      <c r="D51" s="144" t="s">
        <v>684</v>
      </c>
      <c r="E51" s="76" t="s">
        <v>685</v>
      </c>
      <c r="F51" s="133"/>
    </row>
    <row r="52" spans="1:6" ht="15" thickBot="1" x14ac:dyDescent="0.35">
      <c r="A52" s="21" t="str">
        <f>+INDEX(Categories[Parameter],ROW(B51))</f>
        <v xml:space="preserve">EPD </v>
      </c>
      <c r="B52" s="79" t="s">
        <v>608</v>
      </c>
      <c r="C52" s="144" t="s">
        <v>615</v>
      </c>
      <c r="D52" s="144" t="s">
        <v>669</v>
      </c>
      <c r="E52" s="79" t="s">
        <v>686</v>
      </c>
      <c r="F52" s="133"/>
    </row>
    <row r="53" spans="1:6" ht="72.599999999999994" thickBot="1" x14ac:dyDescent="0.35">
      <c r="A53" s="21" t="str">
        <f>+INDEX(Categories[Parameter],ROW(B52))</f>
        <v>Link EPD</v>
      </c>
      <c r="B53" s="80" t="s">
        <v>613</v>
      </c>
      <c r="C53" s="144" t="s">
        <v>241</v>
      </c>
      <c r="D53" s="144" t="s">
        <v>615</v>
      </c>
      <c r="E53" s="79" t="s">
        <v>686</v>
      </c>
      <c r="F53" s="133"/>
    </row>
    <row r="54" spans="1:6" ht="42" thickBot="1" x14ac:dyDescent="0.35">
      <c r="A54" s="21" t="str">
        <f>+INDEX(Categories[Parameter],ROW(B53))</f>
        <v>Global Warming Potential (GWP)</v>
      </c>
      <c r="B54" s="83">
        <v>1.3392000000000002</v>
      </c>
      <c r="C54" s="144" t="s">
        <v>687</v>
      </c>
      <c r="D54" s="122" t="s">
        <v>688</v>
      </c>
      <c r="E54" s="82" t="s">
        <v>689</v>
      </c>
      <c r="F54" s="65" t="s">
        <v>919</v>
      </c>
    </row>
    <row r="55" spans="1:6" ht="28.2" thickBot="1" x14ac:dyDescent="0.35">
      <c r="A55" s="21" t="str">
        <f>+INDEX(Categories[Parameter],ROW(B54))</f>
        <v xml:space="preserve">Primary Energy Intensity (PEI) </v>
      </c>
      <c r="B55" s="81"/>
      <c r="C55" s="144"/>
      <c r="D55" s="122"/>
      <c r="E55" s="78"/>
      <c r="F55" s="65"/>
    </row>
    <row r="56" spans="1:6" ht="55.8" thickBot="1" x14ac:dyDescent="0.35">
      <c r="A56" s="21" t="str">
        <f>+INDEX(Categories[Parameter],ROW(B55))</f>
        <v>Primary Energy Intensity (PERT) Renewable</v>
      </c>
      <c r="B56" s="85">
        <v>18.408720000000002</v>
      </c>
      <c r="C56" s="144" t="s">
        <v>690</v>
      </c>
      <c r="D56" s="122" t="s">
        <v>691</v>
      </c>
      <c r="E56" s="84" t="s">
        <v>692</v>
      </c>
      <c r="F56" s="65" t="s">
        <v>920</v>
      </c>
    </row>
    <row r="57" spans="1:6" ht="55.8" thickBot="1" x14ac:dyDescent="0.35">
      <c r="A57" s="21" t="str">
        <f>+INDEX(Categories[Parameter],ROW(B56))</f>
        <v>Primary Energy Intensity (PENRT) Non-renewable</v>
      </c>
      <c r="B57" s="85">
        <v>17.026880000000002</v>
      </c>
      <c r="C57" s="144" t="s">
        <v>690</v>
      </c>
      <c r="D57" s="122" t="s">
        <v>693</v>
      </c>
      <c r="E57" s="84" t="s">
        <v>692</v>
      </c>
      <c r="F57" s="65" t="s">
        <v>921</v>
      </c>
    </row>
    <row r="58" spans="1:6" ht="55.8" thickBot="1" x14ac:dyDescent="0.35">
      <c r="A58" s="21" t="str">
        <f>+INDEX(Categories[Parameter],ROW(B57))</f>
        <v>Acidification Potential (AP)</v>
      </c>
      <c r="B58" s="88">
        <v>2.4935000000000002E-4</v>
      </c>
      <c r="C58" s="144" t="s">
        <v>694</v>
      </c>
      <c r="D58" s="123" t="s">
        <v>695</v>
      </c>
      <c r="E58" s="86" t="s">
        <v>696</v>
      </c>
      <c r="F58" s="65" t="s">
        <v>919</v>
      </c>
    </row>
    <row r="59" spans="1:6" ht="55.8" thickBot="1" x14ac:dyDescent="0.35">
      <c r="A59" s="21" t="str">
        <f>+INDEX(Categories[Parameter],ROW(B58))</f>
        <v>Embodied carbon</v>
      </c>
      <c r="B59" s="87">
        <v>-1.744</v>
      </c>
      <c r="C59" s="144" t="s">
        <v>687</v>
      </c>
      <c r="D59" s="122" t="s">
        <v>697</v>
      </c>
      <c r="E59" s="86" t="s">
        <v>698</v>
      </c>
      <c r="F59" s="65" t="s">
        <v>922</v>
      </c>
    </row>
    <row r="60" spans="1:6" ht="55.8" thickBot="1" x14ac:dyDescent="0.35">
      <c r="A60" s="21" t="str">
        <f>+INDEX(Categories[Parameter],ROW(B59))</f>
        <v>Biogenic carbon storage</v>
      </c>
      <c r="B60" s="87">
        <v>0.44880000000000003</v>
      </c>
      <c r="C60" s="144" t="s">
        <v>687</v>
      </c>
      <c r="D60" s="144" t="s">
        <v>699</v>
      </c>
      <c r="E60" s="86" t="s">
        <v>700</v>
      </c>
      <c r="F60" s="65" t="s">
        <v>923</v>
      </c>
    </row>
    <row r="61" spans="1:6" ht="55.8" thickBot="1" x14ac:dyDescent="0.35">
      <c r="A61" s="21" t="str">
        <f>+INDEX(Categories[Parameter],ROW(B60))</f>
        <v>End-of-life emissions</v>
      </c>
      <c r="B61" s="87">
        <v>1.7772000000000001</v>
      </c>
      <c r="C61" s="144" t="s">
        <v>687</v>
      </c>
      <c r="D61" s="144" t="s">
        <v>701</v>
      </c>
      <c r="E61" s="86" t="s">
        <v>702</v>
      </c>
      <c r="F61" s="65" t="s">
        <v>924</v>
      </c>
    </row>
    <row r="62" spans="1:6" ht="15" thickBot="1" x14ac:dyDescent="0.35">
      <c r="A62" s="21" t="str">
        <f>+INDEX(Categories[Parameter],ROW(B61))</f>
        <v>Circularity index</v>
      </c>
      <c r="B62" s="89">
        <v>70</v>
      </c>
      <c r="C62" s="144" t="s">
        <v>675</v>
      </c>
      <c r="D62" s="144" t="s">
        <v>703</v>
      </c>
      <c r="E62" s="86" t="s">
        <v>679</v>
      </c>
      <c r="F62" s="65"/>
    </row>
    <row r="63" spans="1:6" ht="28.2" thickBot="1" x14ac:dyDescent="0.35">
      <c r="A63" s="21" t="str">
        <f>+INDEX(Categories[Parameter],ROW(B62))</f>
        <v>Normalized environmental performance</v>
      </c>
      <c r="B63" s="90">
        <v>0.99199999999999999</v>
      </c>
      <c r="C63" s="144" t="s">
        <v>671</v>
      </c>
      <c r="D63" s="144" t="s">
        <v>674</v>
      </c>
      <c r="E63" s="86" t="s">
        <v>673</v>
      </c>
      <c r="F63" s="65" t="s">
        <v>926</v>
      </c>
    </row>
    <row r="64" spans="1:6" ht="15" thickBot="1" x14ac:dyDescent="0.35">
      <c r="A64" s="21" t="str">
        <f>+INDEX(Categories[Parameter],ROW(B63))</f>
        <v>Secondary life weighting</v>
      </c>
      <c r="B64" s="87">
        <v>0.75</v>
      </c>
      <c r="C64" s="144" t="s">
        <v>671</v>
      </c>
      <c r="D64" s="144" t="s">
        <v>674</v>
      </c>
      <c r="E64" s="86" t="s">
        <v>673</v>
      </c>
      <c r="F64" s="65" t="s">
        <v>927</v>
      </c>
    </row>
    <row r="65" spans="1:6" ht="15" thickBot="1" x14ac:dyDescent="0.35">
      <c r="A65" s="21" t="str">
        <f>+INDEX(Categories[Parameter],ROW(B64))</f>
        <v>Environmental score</v>
      </c>
      <c r="B65" s="90">
        <v>0.74399999999999999</v>
      </c>
      <c r="C65" s="144" t="s">
        <v>671</v>
      </c>
      <c r="D65" s="144" t="s">
        <v>674</v>
      </c>
      <c r="E65" s="86" t="s">
        <v>673</v>
      </c>
      <c r="F65" s="65" t="s">
        <v>925</v>
      </c>
    </row>
    <row r="66" spans="1:6" ht="55.8" thickBot="1" x14ac:dyDescent="0.35">
      <c r="A66" s="21" t="str">
        <f>+INDEX(Categories[Parameter],ROW(B65))</f>
        <v>Service life</v>
      </c>
      <c r="B66" s="92">
        <v>100</v>
      </c>
      <c r="C66" s="144" t="s">
        <v>704</v>
      </c>
      <c r="D66" s="144" t="s">
        <v>705</v>
      </c>
      <c r="E66" s="91" t="s">
        <v>706</v>
      </c>
      <c r="F66" s="133"/>
    </row>
    <row r="67" spans="1:6" ht="15" thickBot="1" x14ac:dyDescent="0.35">
      <c r="A67" s="21" t="str">
        <f>+INDEX(Categories[Parameter],ROW(B66))</f>
        <v>Mantenance Instructions</v>
      </c>
      <c r="B67" s="145"/>
      <c r="C67" s="144"/>
      <c r="D67" s="144"/>
      <c r="E67" s="145"/>
      <c r="F67" s="133"/>
    </row>
    <row r="68" spans="1:6" ht="28.2" thickBot="1" x14ac:dyDescent="0.35">
      <c r="A68" s="21" t="str">
        <f>+INDEX(Categories[Parameter],ROW(B67))</f>
        <v>Soursing distance</v>
      </c>
      <c r="B68" s="145" t="s">
        <v>614</v>
      </c>
      <c r="C68" s="144" t="s">
        <v>707</v>
      </c>
      <c r="D68" s="144" t="s">
        <v>708</v>
      </c>
      <c r="E68" s="145" t="s">
        <v>709</v>
      </c>
      <c r="F68" s="133"/>
    </row>
    <row r="69" spans="1:6" ht="15" thickBot="1" x14ac:dyDescent="0.35">
      <c r="A69" s="21" t="str">
        <f>+INDEX(Categories[Parameter],ROW(B68))</f>
        <v>Warranty</v>
      </c>
      <c r="B69" s="93" t="s">
        <v>609</v>
      </c>
      <c r="C69" s="144" t="s">
        <v>615</v>
      </c>
      <c r="D69" s="144" t="s">
        <v>669</v>
      </c>
      <c r="E69" s="93" t="s">
        <v>686</v>
      </c>
      <c r="F69" s="133"/>
    </row>
    <row r="70" spans="1:6" ht="15" thickBot="1" x14ac:dyDescent="0.35">
      <c r="A70" s="21" t="str">
        <f>+INDEX(Categories[Parameter],ROW(B69))</f>
        <v>Warranty duration</v>
      </c>
      <c r="B70" s="132">
        <v>0</v>
      </c>
      <c r="C70" s="144" t="s">
        <v>615</v>
      </c>
      <c r="D70" s="144"/>
      <c r="E70" s="131" t="s">
        <v>768</v>
      </c>
      <c r="F70" s="133"/>
    </row>
    <row r="71" spans="1:6" ht="15" thickBot="1" x14ac:dyDescent="0.35">
      <c r="A71" s="21" t="str">
        <f>+INDEX(Categories[Parameter],ROW(B70))</f>
        <v>Update history</v>
      </c>
      <c r="B71" s="95"/>
      <c r="C71" s="144" t="s">
        <v>710</v>
      </c>
      <c r="D71" s="144" t="s">
        <v>615</v>
      </c>
      <c r="E71" s="94"/>
      <c r="F71" s="133"/>
    </row>
    <row r="72" spans="1:6" ht="15" thickBot="1" x14ac:dyDescent="0.35">
      <c r="A72" s="21" t="str">
        <f>+INDEX(Categories[Parameter],ROW(B71))</f>
        <v xml:space="preserve">HPD </v>
      </c>
      <c r="B72" s="98" t="s">
        <v>609</v>
      </c>
      <c r="C72" s="144" t="s">
        <v>615</v>
      </c>
      <c r="D72" s="144" t="s">
        <v>669</v>
      </c>
      <c r="E72" s="98" t="s">
        <v>686</v>
      </c>
      <c r="F72" s="133"/>
    </row>
    <row r="73" spans="1:6" ht="15" thickBot="1" x14ac:dyDescent="0.35">
      <c r="A73" s="21" t="str">
        <f>+INDEX(Categories[Parameter],ROW(B72))</f>
        <v>Link HPD</v>
      </c>
      <c r="B73" s="97" t="s">
        <v>615</v>
      </c>
      <c r="C73" s="144" t="s">
        <v>241</v>
      </c>
      <c r="D73" s="144" t="s">
        <v>615</v>
      </c>
      <c r="E73" s="98" t="s">
        <v>686</v>
      </c>
      <c r="F73" s="133"/>
    </row>
    <row r="74" spans="1:6" ht="28.2" thickBot="1" x14ac:dyDescent="0.35">
      <c r="A74" s="21" t="str">
        <f>+INDEX(Categories[Parameter],ROW(B73))</f>
        <v>Hazard classification</v>
      </c>
      <c r="B74" s="96" t="s">
        <v>616</v>
      </c>
      <c r="C74" s="144" t="s">
        <v>615</v>
      </c>
      <c r="D74" s="144" t="s">
        <v>711</v>
      </c>
      <c r="E74" s="96" t="s">
        <v>712</v>
      </c>
      <c r="F74" s="133"/>
    </row>
    <row r="75" spans="1:6" ht="69.599999999999994" thickBot="1" x14ac:dyDescent="0.35">
      <c r="A75" s="21" t="str">
        <f>+INDEX(Categories[Parameter],ROW(B74))</f>
        <v>PM</v>
      </c>
      <c r="B75" s="99">
        <v>2.272E-7</v>
      </c>
      <c r="C75" s="144" t="s">
        <v>713</v>
      </c>
      <c r="D75" s="144" t="s">
        <v>714</v>
      </c>
      <c r="E75" s="96" t="s">
        <v>715</v>
      </c>
      <c r="F75" s="133" t="s">
        <v>907</v>
      </c>
    </row>
    <row r="76" spans="1:6" ht="69.599999999999994" thickBot="1" x14ac:dyDescent="0.35">
      <c r="A76" s="21" t="str">
        <f>+INDEX(Categories[Parameter],ROW(B75))</f>
        <v>IRP</v>
      </c>
      <c r="B76" s="100">
        <v>1.6239999999999997E-2</v>
      </c>
      <c r="C76" s="144" t="s">
        <v>716</v>
      </c>
      <c r="D76" s="144" t="s">
        <v>717</v>
      </c>
      <c r="E76" s="96" t="s">
        <v>715</v>
      </c>
      <c r="F76" s="133" t="s">
        <v>910</v>
      </c>
    </row>
    <row r="77" spans="1:6" ht="69.599999999999994" thickBot="1" x14ac:dyDescent="0.35">
      <c r="A77" s="21" t="str">
        <f>+INDEX(Categories[Parameter],ROW(B76))</f>
        <v>ETP-fw</v>
      </c>
      <c r="B77" s="103">
        <v>12.266567999999999</v>
      </c>
      <c r="C77" s="144" t="s">
        <v>718</v>
      </c>
      <c r="D77" s="124" t="s">
        <v>719</v>
      </c>
      <c r="E77" s="101" t="s">
        <v>715</v>
      </c>
      <c r="F77" s="133" t="s">
        <v>911</v>
      </c>
    </row>
    <row r="78" spans="1:6" ht="69.599999999999994" thickBot="1" x14ac:dyDescent="0.35">
      <c r="A78" s="21" t="str">
        <f>+INDEX(Categories[Parameter],ROW(B77))</f>
        <v>HTP-c</v>
      </c>
      <c r="B78" s="104">
        <v>7.0708479999999998E-10</v>
      </c>
      <c r="C78" s="144" t="s">
        <v>720</v>
      </c>
      <c r="D78" s="144" t="s">
        <v>721</v>
      </c>
      <c r="E78" s="101" t="s">
        <v>715</v>
      </c>
      <c r="F78" s="133" t="s">
        <v>914</v>
      </c>
    </row>
    <row r="79" spans="1:6" ht="69.599999999999994" thickBot="1" x14ac:dyDescent="0.35">
      <c r="A79" s="21" t="str">
        <f>+INDEX(Categories[Parameter],ROW(B78))</f>
        <v>HTP-nc</v>
      </c>
      <c r="B79" s="104">
        <v>2.3093359999999999E-8</v>
      </c>
      <c r="C79" s="144" t="s">
        <v>720</v>
      </c>
      <c r="D79" s="144" t="s">
        <v>722</v>
      </c>
      <c r="E79" s="101" t="s">
        <v>715</v>
      </c>
      <c r="F79" s="133" t="s">
        <v>913</v>
      </c>
    </row>
    <row r="80" spans="1:6" ht="69.599999999999994" thickBot="1" x14ac:dyDescent="0.35">
      <c r="A80" s="21" t="str">
        <f>+INDEX(Categories[Parameter],ROW(B79))</f>
        <v>SQP</v>
      </c>
      <c r="B80" s="102">
        <v>62.72</v>
      </c>
      <c r="C80" s="144" t="s">
        <v>615</v>
      </c>
      <c r="D80" s="144" t="s">
        <v>723</v>
      </c>
      <c r="E80" s="101" t="s">
        <v>715</v>
      </c>
      <c r="F80" s="133" t="s">
        <v>912</v>
      </c>
    </row>
    <row r="81" spans="1:6" ht="15" thickBot="1" x14ac:dyDescent="0.35">
      <c r="A81" s="21" t="str">
        <f>+INDEX(Categories[Parameter],ROW(B80))</f>
        <v>Toxicity</v>
      </c>
      <c r="B81" s="106" t="s">
        <v>609</v>
      </c>
      <c r="C81" s="144" t="s">
        <v>615</v>
      </c>
      <c r="D81" s="144" t="s">
        <v>669</v>
      </c>
      <c r="E81" s="105" t="s">
        <v>633</v>
      </c>
      <c r="F81" s="133"/>
    </row>
    <row r="82" spans="1:6" ht="42" thickBot="1" x14ac:dyDescent="0.35">
      <c r="A82" s="21" t="str">
        <f>+INDEX(Categories[Parameter],ROW(B81))</f>
        <v>Class</v>
      </c>
      <c r="B82" s="107" t="s">
        <v>617</v>
      </c>
      <c r="C82" s="144" t="s">
        <v>615</v>
      </c>
      <c r="D82" s="137" t="s">
        <v>724</v>
      </c>
      <c r="E82" s="105" t="s">
        <v>725</v>
      </c>
      <c r="F82" s="133"/>
    </row>
    <row r="83" spans="1:6" ht="42" thickBot="1" x14ac:dyDescent="0.35">
      <c r="A83" s="21" t="str">
        <f>+INDEX(Categories[Parameter],ROW(B82))</f>
        <v>s-subclass</v>
      </c>
      <c r="B83" s="107" t="s">
        <v>618</v>
      </c>
      <c r="C83" s="144" t="s">
        <v>615</v>
      </c>
      <c r="D83" s="137" t="s">
        <v>726</v>
      </c>
      <c r="E83" s="105" t="s">
        <v>725</v>
      </c>
      <c r="F83" s="133"/>
    </row>
    <row r="84" spans="1:6" ht="42" thickBot="1" x14ac:dyDescent="0.35">
      <c r="A84" s="21" t="str">
        <f>+INDEX(Categories[Parameter],ROW(B83))</f>
        <v>d_subclass</v>
      </c>
      <c r="B84" s="107" t="s">
        <v>619</v>
      </c>
      <c r="C84" s="144" t="s">
        <v>615</v>
      </c>
      <c r="D84" s="138" t="s">
        <v>727</v>
      </c>
      <c r="E84" s="105" t="s">
        <v>725</v>
      </c>
      <c r="F84" s="133"/>
    </row>
    <row r="85" spans="1:6" ht="55.8" thickBot="1" x14ac:dyDescent="0.35">
      <c r="A85" s="21" t="str">
        <f>+INDEX(Categories[Parameter],ROW(B84))</f>
        <v>Fire resistance</v>
      </c>
      <c r="B85" s="107" t="s">
        <v>620</v>
      </c>
      <c r="C85" s="144" t="s">
        <v>615</v>
      </c>
      <c r="D85" s="137" t="s">
        <v>728</v>
      </c>
      <c r="E85" s="44" t="s">
        <v>725</v>
      </c>
      <c r="F85" s="133"/>
    </row>
    <row r="86" spans="1:6" ht="15" thickBot="1" x14ac:dyDescent="0.35">
      <c r="A86" s="21" t="str">
        <f>+INDEX(Categories[Parameter],ROW(B85))</f>
        <v xml:space="preserve">Coatings </v>
      </c>
      <c r="B86" s="107" t="s">
        <v>608</v>
      </c>
      <c r="C86" s="144" t="s">
        <v>615</v>
      </c>
      <c r="D86" s="144" t="s">
        <v>669</v>
      </c>
      <c r="E86" s="105" t="s">
        <v>633</v>
      </c>
      <c r="F86" s="133"/>
    </row>
    <row r="87" spans="1:6" ht="69.599999999999994" thickBot="1" x14ac:dyDescent="0.35">
      <c r="A87" s="21" t="str">
        <f>+INDEX(Categories[Parameter],ROW(B86))</f>
        <v>Coatings or treatments</v>
      </c>
      <c r="B87" s="105" t="s">
        <v>621</v>
      </c>
      <c r="C87" s="144" t="s">
        <v>615</v>
      </c>
      <c r="D87" s="144" t="s">
        <v>729</v>
      </c>
      <c r="E87" s="105" t="s">
        <v>730</v>
      </c>
      <c r="F87" s="133"/>
    </row>
    <row r="88" spans="1:6" ht="15" thickBot="1" x14ac:dyDescent="0.35">
      <c r="A88" s="21" t="str">
        <f>+INDEX(Categories[Parameter],ROW(B87))</f>
        <v>PPE requirements</v>
      </c>
      <c r="B88" s="145"/>
      <c r="C88" s="144"/>
      <c r="D88" s="144"/>
      <c r="E88" s="145"/>
      <c r="F88" s="133"/>
    </row>
    <row r="89" spans="1:6" ht="42" thickBot="1" x14ac:dyDescent="0.35">
      <c r="A89" s="21" t="str">
        <f>+INDEX(Categories[Parameter],ROW(B88))</f>
        <v>Compliance certificates</v>
      </c>
      <c r="B89" s="145" t="s">
        <v>608</v>
      </c>
      <c r="C89" s="144" t="s">
        <v>615</v>
      </c>
      <c r="D89" s="144" t="s">
        <v>669</v>
      </c>
      <c r="E89" s="145" t="s">
        <v>731</v>
      </c>
      <c r="F89" s="133"/>
    </row>
    <row r="90" spans="1:6" ht="15" thickBot="1" x14ac:dyDescent="0.35">
      <c r="A90" s="21" t="str">
        <f>+INDEX(Categories[Parameter],ROW(B89))</f>
        <v>Sound Absorption Coefficient</v>
      </c>
      <c r="B90" s="134">
        <v>0.8</v>
      </c>
      <c r="C90" s="144" t="s">
        <v>671</v>
      </c>
      <c r="D90" s="144" t="s">
        <v>769</v>
      </c>
      <c r="E90" s="133" t="s">
        <v>646</v>
      </c>
      <c r="F90" s="133"/>
    </row>
    <row r="91" spans="1:6" ht="15" thickBot="1" x14ac:dyDescent="0.35">
      <c r="A91" s="21" t="str">
        <f>+INDEX(Categories[Parameter],ROW(B90))</f>
        <v>Sound Attenuation Index</v>
      </c>
      <c r="B91" s="134" t="s">
        <v>770</v>
      </c>
      <c r="C91" s="144" t="s">
        <v>771</v>
      </c>
      <c r="D91" s="144"/>
      <c r="E91" s="133" t="s">
        <v>633</v>
      </c>
      <c r="F91" s="133"/>
    </row>
    <row r="92" spans="1:6" ht="42" thickBot="1" x14ac:dyDescent="0.35">
      <c r="A92" s="21" t="str">
        <f>+INDEX(Categories[Parameter],ROW(B91))</f>
        <v>Color</v>
      </c>
      <c r="B92" s="109" t="s">
        <v>622</v>
      </c>
      <c r="C92" s="144" t="s">
        <v>615</v>
      </c>
      <c r="D92" s="144" t="s">
        <v>732</v>
      </c>
      <c r="E92" s="108" t="s">
        <v>733</v>
      </c>
      <c r="F92" s="133"/>
    </row>
    <row r="93" spans="1:6" ht="28.2" thickBot="1" x14ac:dyDescent="0.35">
      <c r="A93" s="21" t="str">
        <f>+INDEX(Categories[Parameter],ROW(B92))</f>
        <v>Odor</v>
      </c>
      <c r="B93" s="109" t="s">
        <v>623</v>
      </c>
      <c r="C93" s="144" t="s">
        <v>615</v>
      </c>
      <c r="D93" s="144" t="s">
        <v>734</v>
      </c>
      <c r="E93" s="108" t="s">
        <v>735</v>
      </c>
      <c r="F93" s="133"/>
    </row>
    <row r="94" spans="1:6" ht="28.2" thickBot="1" x14ac:dyDescent="0.35">
      <c r="A94" s="21" t="str">
        <f>+INDEX(Categories[Parameter],ROW(B93))</f>
        <v>Texture</v>
      </c>
      <c r="B94" s="109" t="s">
        <v>624</v>
      </c>
      <c r="C94" s="144" t="s">
        <v>615</v>
      </c>
      <c r="D94" s="144" t="s">
        <v>736</v>
      </c>
      <c r="E94" s="108" t="s">
        <v>737</v>
      </c>
      <c r="F94" s="133"/>
    </row>
    <row r="95" spans="1:6" ht="28.2" thickBot="1" x14ac:dyDescent="0.35">
      <c r="A95" s="21" t="str">
        <f>+INDEX(Categories[Parameter],ROW(B94))</f>
        <v>Temperature to touch</v>
      </c>
      <c r="B95" s="109" t="s">
        <v>625</v>
      </c>
      <c r="C95" s="144" t="s">
        <v>615</v>
      </c>
      <c r="D95" s="144" t="s">
        <v>738</v>
      </c>
      <c r="E95" s="108" t="s">
        <v>739</v>
      </c>
      <c r="F95" s="133"/>
    </row>
    <row r="96" spans="1:6" ht="28.2" thickBot="1" x14ac:dyDescent="0.35">
      <c r="A96" s="21" t="str">
        <f>+INDEX(Categories[Parameter],ROW(B95))</f>
        <v>Climate Suitability</v>
      </c>
      <c r="B96" s="111" t="s">
        <v>626</v>
      </c>
      <c r="C96" s="144" t="s">
        <v>615</v>
      </c>
      <c r="D96" s="144" t="s">
        <v>740</v>
      </c>
      <c r="E96" s="110" t="s">
        <v>741</v>
      </c>
      <c r="F96" s="133"/>
    </row>
    <row r="97" spans="1:6" ht="28.2" thickBot="1" x14ac:dyDescent="0.35">
      <c r="A97" s="21" t="str">
        <f>+INDEX(Categories[Parameter],ROW(B96))</f>
        <v>Agriculatural Value</v>
      </c>
      <c r="B97" s="111" t="s">
        <v>627</v>
      </c>
      <c r="C97" s="144" t="s">
        <v>615</v>
      </c>
      <c r="D97" s="144" t="s">
        <v>742</v>
      </c>
      <c r="E97" s="110" t="s">
        <v>741</v>
      </c>
      <c r="F97" s="133"/>
    </row>
    <row r="98" spans="1:6" ht="28.2" thickBot="1" x14ac:dyDescent="0.35">
      <c r="A98" s="21" t="str">
        <f>+INDEX(Categories[Parameter],ROW(B97))</f>
        <v>Resourse Availability</v>
      </c>
      <c r="B98" s="111" t="s">
        <v>628</v>
      </c>
      <c r="C98" s="144" t="s">
        <v>615</v>
      </c>
      <c r="D98" s="144" t="s">
        <v>743</v>
      </c>
      <c r="E98" s="110" t="s">
        <v>741</v>
      </c>
      <c r="F98" s="133"/>
    </row>
    <row r="99" spans="1:6" ht="15" thickBot="1" x14ac:dyDescent="0.35">
      <c r="A99" s="21" t="str">
        <f>+INDEX(Categories[Parameter],ROW(B98))</f>
        <v>Material Aging</v>
      </c>
      <c r="B99" s="113">
        <v>4</v>
      </c>
      <c r="C99" s="144" t="s">
        <v>671</v>
      </c>
      <c r="D99" s="144" t="s">
        <v>744</v>
      </c>
      <c r="E99" s="112" t="s">
        <v>745</v>
      </c>
      <c r="F99" s="133"/>
    </row>
    <row r="100" spans="1:6" ht="15" thickBot="1" x14ac:dyDescent="0.35">
      <c r="A100" s="21" t="str">
        <f>+INDEX(Categories[Parameter],ROW(B99))</f>
        <v>Architectural Expression</v>
      </c>
      <c r="B100" s="113">
        <v>4</v>
      </c>
      <c r="C100" s="144" t="s">
        <v>671</v>
      </c>
      <c r="D100" s="144" t="s">
        <v>744</v>
      </c>
      <c r="E100" s="112" t="s">
        <v>745</v>
      </c>
      <c r="F100" s="133"/>
    </row>
    <row r="101" spans="1:6" ht="15" thickBot="1" x14ac:dyDescent="0.35">
      <c r="A101" s="21" t="str">
        <f>+INDEX(Categories[Parameter],ROW(B100))</f>
        <v>Aesthetic Narratives</v>
      </c>
      <c r="B101" s="113">
        <v>5</v>
      </c>
      <c r="C101" s="144" t="s">
        <v>671</v>
      </c>
      <c r="D101" s="144" t="s">
        <v>744</v>
      </c>
      <c r="E101" s="112" t="s">
        <v>745</v>
      </c>
      <c r="F101" s="133"/>
    </row>
    <row r="102" spans="1:6" ht="55.8" thickBot="1" x14ac:dyDescent="0.35">
      <c r="A102" s="21" t="str">
        <f>+INDEX(Categories[Parameter],ROW(B101))</f>
        <v>Thermal Comfort</v>
      </c>
      <c r="B102" s="135" t="s">
        <v>772</v>
      </c>
      <c r="C102" s="144" t="s">
        <v>615</v>
      </c>
      <c r="D102" s="144" t="s">
        <v>934</v>
      </c>
      <c r="E102" s="145" t="s">
        <v>746</v>
      </c>
      <c r="F102" s="133"/>
    </row>
    <row r="103" spans="1:6" ht="55.8" thickBot="1" x14ac:dyDescent="0.35">
      <c r="A103" s="21" t="str">
        <f>+INDEX(Categories[Parameter],ROW(B102))</f>
        <v>Hygrothermal Comfort</v>
      </c>
      <c r="B103" s="135" t="s">
        <v>773</v>
      </c>
      <c r="C103" s="144" t="s">
        <v>615</v>
      </c>
      <c r="D103" s="144" t="s">
        <v>934</v>
      </c>
      <c r="E103" s="145" t="s">
        <v>746</v>
      </c>
      <c r="F103" s="133"/>
    </row>
    <row r="104" spans="1:6" ht="55.8" thickBot="1" x14ac:dyDescent="0.35">
      <c r="A104" s="21" t="str">
        <f>+INDEX(Categories[Parameter],ROW(B103))</f>
        <v>Acoustic Comfort</v>
      </c>
      <c r="B104" s="135" t="s">
        <v>774</v>
      </c>
      <c r="C104" s="144" t="s">
        <v>615</v>
      </c>
      <c r="D104" s="144" t="s">
        <v>934</v>
      </c>
      <c r="E104" s="145" t="s">
        <v>746</v>
      </c>
      <c r="F104" s="133"/>
    </row>
    <row r="105" spans="1:6" ht="55.8" thickBot="1" x14ac:dyDescent="0.35">
      <c r="A105" s="21" t="str">
        <f>+INDEX(Categories[Parameter],ROW(B104))</f>
        <v>Material Comfort</v>
      </c>
      <c r="B105" s="114" t="s">
        <v>629</v>
      </c>
      <c r="C105" s="144" t="s">
        <v>615</v>
      </c>
      <c r="D105" s="144" t="s">
        <v>934</v>
      </c>
      <c r="E105" s="114" t="s">
        <v>746</v>
      </c>
      <c r="F105" s="133"/>
    </row>
    <row r="106" spans="1:6" ht="15" thickBot="1" x14ac:dyDescent="0.35">
      <c r="A106" s="21" t="str">
        <f>+INDEX(Categories[Parameter],ROW(B105))</f>
        <v>Craft Knowledge</v>
      </c>
      <c r="B106" s="140">
        <v>2</v>
      </c>
      <c r="C106" s="144" t="s">
        <v>671</v>
      </c>
      <c r="D106" s="139" t="s">
        <v>744</v>
      </c>
      <c r="E106" s="145"/>
      <c r="F106" s="133"/>
    </row>
    <row r="107" spans="1:6" ht="15" thickBot="1" x14ac:dyDescent="0.35">
      <c r="A107" s="21" t="str">
        <f>+INDEX(Categories[Parameter],ROW(B106))</f>
        <v>Identity and Symbolism</v>
      </c>
      <c r="B107" s="140">
        <v>4</v>
      </c>
      <c r="C107" s="144" t="s">
        <v>671</v>
      </c>
      <c r="D107" s="139" t="s">
        <v>744</v>
      </c>
      <c r="E107" s="145"/>
      <c r="F107" s="133"/>
    </row>
    <row r="108" spans="1:6" ht="15" thickBot="1" x14ac:dyDescent="0.35">
      <c r="A108" s="21" t="str">
        <f>+INDEX(Categories[Parameter],ROW(B107))</f>
        <v>Material unit cost</v>
      </c>
      <c r="B108" s="116">
        <v>3.8</v>
      </c>
      <c r="C108" s="144" t="s">
        <v>747</v>
      </c>
      <c r="D108" s="144" t="s">
        <v>748</v>
      </c>
      <c r="E108" s="115" t="s">
        <v>749</v>
      </c>
      <c r="F108" s="133"/>
    </row>
    <row r="109" spans="1:6" ht="15" thickBot="1" x14ac:dyDescent="0.35">
      <c r="A109" s="21" t="str">
        <f>+INDEX(Categories[Parameter],ROW(B108))</f>
        <v>Assembly cost</v>
      </c>
      <c r="B109" s="142">
        <v>30.4</v>
      </c>
      <c r="C109" s="144" t="s">
        <v>776</v>
      </c>
      <c r="D109" s="144"/>
      <c r="E109" s="145" t="s">
        <v>936</v>
      </c>
      <c r="F109" s="133" t="s">
        <v>935</v>
      </c>
    </row>
    <row r="110" spans="1:6" ht="15" thickBot="1" x14ac:dyDescent="0.35">
      <c r="A110" s="21" t="str">
        <f>+INDEX(Categories[Parameter],ROW(B109))</f>
        <v>Maintenance cost</v>
      </c>
      <c r="B110" s="142">
        <v>30</v>
      </c>
      <c r="C110" s="144" t="s">
        <v>776</v>
      </c>
      <c r="D110" s="144"/>
      <c r="E110" s="145"/>
      <c r="F110" s="133"/>
    </row>
    <row r="111" spans="1:6" ht="28.2" thickBot="1" x14ac:dyDescent="0.35">
      <c r="A111" s="21" t="str">
        <f>+INDEX(Categories[Parameter],ROW(B110))</f>
        <v>Economic circularity benefit</v>
      </c>
      <c r="B111" s="118">
        <v>0.39976</v>
      </c>
      <c r="C111" s="144" t="s">
        <v>747</v>
      </c>
      <c r="D111" s="144" t="s">
        <v>750</v>
      </c>
      <c r="E111" s="117" t="s">
        <v>751</v>
      </c>
      <c r="F111" s="133" t="s">
        <v>908</v>
      </c>
    </row>
    <row r="112" spans="1:6" ht="28.2" thickBot="1" x14ac:dyDescent="0.35">
      <c r="A112" s="21" t="str">
        <f>+INDEX(Categories[Parameter],ROW(B111))</f>
        <v>Replacement cost</v>
      </c>
      <c r="B112" s="120">
        <v>3.4002399999999997</v>
      </c>
      <c r="C112" s="144" t="s">
        <v>747</v>
      </c>
      <c r="D112" s="144" t="s">
        <v>752</v>
      </c>
      <c r="E112" s="119" t="s">
        <v>753</v>
      </c>
      <c r="F112" s="156" t="s">
        <v>909</v>
      </c>
    </row>
    <row r="113" spans="1:6" ht="42" thickBot="1" x14ac:dyDescent="0.35">
      <c r="A113" s="21" t="str">
        <f>+INDEX(Categories[Parameter],ROW(B112))</f>
        <v>Net present value</v>
      </c>
      <c r="B113" s="143">
        <v>35.570751840116472</v>
      </c>
      <c r="C113" s="144" t="s">
        <v>776</v>
      </c>
      <c r="D113" s="144"/>
      <c r="E113" s="145" t="s">
        <v>938</v>
      </c>
      <c r="F113" s="133" t="s">
        <v>928</v>
      </c>
    </row>
    <row r="114" spans="1:6" ht="28.2" thickBot="1" x14ac:dyDescent="0.35">
      <c r="A114" s="21" t="str">
        <f>+INDEX(Categories[Parameter],ROW(B113))</f>
        <v>Net savings (net benefit)</v>
      </c>
      <c r="B114" s="147">
        <v>232.208</v>
      </c>
      <c r="C114" s="144" t="s">
        <v>776</v>
      </c>
      <c r="D114" s="144"/>
      <c r="E114" s="145" t="s">
        <v>937</v>
      </c>
      <c r="F114" s="133" t="s">
        <v>929</v>
      </c>
    </row>
    <row r="115" spans="1:6" ht="15" thickBot="1" x14ac:dyDescent="0.35">
      <c r="A115" s="21" t="str">
        <f>+INDEX(Categories[Parameter],ROW(B114))</f>
        <v>Pay back period</v>
      </c>
      <c r="B115" s="146">
        <v>12</v>
      </c>
      <c r="C115" s="144" t="s">
        <v>777</v>
      </c>
      <c r="D115" s="144"/>
      <c r="E115" s="145" t="s">
        <v>941</v>
      </c>
      <c r="F115" s="133"/>
    </row>
    <row r="116" spans="1:6" ht="28.2" thickBot="1" x14ac:dyDescent="0.35">
      <c r="A116" s="21" t="str">
        <f>+INDEX(Categories[Parameter],ROW(B115))</f>
        <v>Benefit-Cost ratio</v>
      </c>
      <c r="B116" s="147">
        <v>2.1330440709330962</v>
      </c>
      <c r="C116" s="144" t="s">
        <v>615</v>
      </c>
      <c r="D116" s="144"/>
      <c r="E116" s="145" t="s">
        <v>940</v>
      </c>
      <c r="F116" s="133" t="s">
        <v>931</v>
      </c>
    </row>
    <row r="117" spans="1:6" ht="28.2" thickBot="1" x14ac:dyDescent="0.35">
      <c r="A117" s="21" t="str">
        <f>+INDEX(Categories[Parameter],ROW(B116))</f>
        <v>Lifecycle cost estimate</v>
      </c>
      <c r="B117" s="147">
        <v>47.376342833923765</v>
      </c>
      <c r="C117" s="144" t="s">
        <v>776</v>
      </c>
      <c r="D117" s="144"/>
      <c r="E117" s="145" t="s">
        <v>939</v>
      </c>
      <c r="F117" s="133" t="s">
        <v>930</v>
      </c>
    </row>
    <row r="118" spans="1:6" x14ac:dyDescent="0.3">
      <c r="A118" s="53"/>
    </row>
    <row r="119" spans="1:6" x14ac:dyDescent="0.3">
      <c r="A119" s="53"/>
    </row>
    <row r="120" spans="1:6" x14ac:dyDescent="0.3">
      <c r="A120" s="53"/>
    </row>
  </sheetData>
  <hyperlinks>
    <hyperlink ref="B53" r:id="rId1"/>
    <hyperlink ref="E39" r:id="rId2"/>
    <hyperlink ref="B4" r:id="rId3"/>
    <hyperlink ref="B8" r:id="rId4"/>
  </hyperlinks>
  <pageMargins left="0.7" right="0.7" top="0.75" bottom="0.75" header="0.3" footer="0.3"/>
  <pageSetup orientation="portrait"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7"/>
  <sheetViews>
    <sheetView zoomScaleNormal="100" workbookViewId="0">
      <selection activeCell="D2" sqref="D2"/>
    </sheetView>
  </sheetViews>
  <sheetFormatPr baseColWidth="10" defaultRowHeight="14.4" x14ac:dyDescent="0.3"/>
  <cols>
    <col min="1" max="1" width="34.77734375" style="53" customWidth="1"/>
    <col min="2" max="2" width="23.109375" style="53" customWidth="1"/>
    <col min="3" max="3" width="11.5546875" style="53"/>
    <col min="4" max="4" width="23.21875" style="55" customWidth="1"/>
    <col min="5" max="16384" width="11.5546875" style="53"/>
  </cols>
  <sheetData>
    <row r="1" spans="1:7" x14ac:dyDescent="0.3">
      <c r="A1" s="148" t="s">
        <v>778</v>
      </c>
      <c r="B1" s="148" t="s">
        <v>779</v>
      </c>
      <c r="C1" s="148" t="s">
        <v>780</v>
      </c>
      <c r="D1" s="149" t="s">
        <v>782</v>
      </c>
    </row>
    <row r="2" spans="1:7" x14ac:dyDescent="0.3">
      <c r="A2" s="53" t="str">
        <f>INDEX(SharedParams[Name],ROW(B1))</f>
        <v>DPP_AUT_Name</v>
      </c>
      <c r="B2" s="53" t="s">
        <v>487</v>
      </c>
      <c r="C2" s="53" t="str">
        <f>IFERROR(
   IF(
      VLOOKUP(
         INDEX('Shared parameters'!$A$2:$A$200,
                MATCH($A2,'Shared parameters'!$B$2:$B$200,0)
         ),
         'Parameter Categories'!$B$2:$G$200,
         6,
         FALSE
      )="x",
      "No",
      IF(
         VLOOKUP(
            INDEX('Shared parameters'!$A$2:$A$200,
                   MATCH($A2,'Shared parameters'!$B$2:$B$200,0)
            ),
            'Parameter Categories'!$B$2:$G$200,
            5,
            FALSE
         )="x",
         "Yes",
         ""
      )
   ),
"")</f>
        <v>No</v>
      </c>
      <c r="D2" s="55" t="str">
        <f>IFERROR(
   VLOOKUP(
      INDEX('Shared parameters'!$A$2:$A$200,
             MATCH($A2,'Shared parameters'!$B$2:$B$200,0)
      ),
      'Data Entry'!$A$2:$B$200,
      2,
      FALSE
   ),
"")</f>
        <v>Hempstone</v>
      </c>
    </row>
    <row r="3" spans="1:7" x14ac:dyDescent="0.3">
      <c r="A3" s="53" t="str">
        <f>INDEX(SharedParams[Name],ROW(B2))</f>
        <v>DPP_AUT_ID</v>
      </c>
      <c r="B3" s="53" t="s">
        <v>487</v>
      </c>
      <c r="C3" s="53" t="str">
        <f>IFERROR(
   IF(
      VLOOKUP(
         INDEX('Shared parameters'!$A$2:$A$200,
                MATCH($A3,'Shared parameters'!$B$2:$B$200,0)
         ),
         'Parameter Categories'!$B$2:$G$200,
         6,
         FALSE
      )="x",
      "No",
      IF(
         VLOOKUP(
            INDEX('Shared parameters'!$A$2:$A$200,
                   MATCH($A3,'Shared parameters'!$B$2:$B$200,0)
            ),
            'Parameter Categories'!$B$2:$G$200,
            5,
            FALSE
         )="x",
         "Yes",
         ""
      )
   ),
"")</f>
        <v>No</v>
      </c>
      <c r="D3" s="55" t="str">
        <f>IFERROR(
   VLOOKUP(
      INDEX('Shared parameters'!$A$2:$A$200,
             MATCH($A3,'Shared parameters'!$B$2:$B$200,0)
      ),
      'Data Entry'!$A$2:$B$200,
      2,
      FALSE
   ),
"")</f>
        <v>Z-17.25-1299</v>
      </c>
    </row>
    <row r="4" spans="1:7" x14ac:dyDescent="0.3">
      <c r="A4" s="53" t="str">
        <f>INDEX(SharedParams[Name],ROW(B3))</f>
        <v>DPP_AUT_Image</v>
      </c>
      <c r="B4" s="53" t="s">
        <v>487</v>
      </c>
      <c r="C4" s="53" t="str">
        <f>IFERROR(
   IF(
      VLOOKUP(
         INDEX('Shared parameters'!$A$2:$A$200,
                MATCH($A4,'Shared parameters'!$B$2:$B$200,0)
         ),
         'Parameter Categories'!$B$2:$G$200,
         6,
         FALSE
      )="x",
      "No",
      IF(
         VLOOKUP(
            INDEX('Shared parameters'!$A$2:$A$200,
                   MATCH($A4,'Shared parameters'!$B$2:$B$200,0)
            ),
            'Parameter Categories'!$B$2:$G$200,
            5,
            FALSE
         )="x",
         "Yes",
         ""
      )
   ),
"")</f>
        <v>Yes</v>
      </c>
      <c r="D4" s="55" t="str">
        <f>IFERROR(
   VLOOKUP(
      INDEX('Shared parameters'!$A$2:$A$200,
             MATCH($A4,'Shared parameters'!$B$2:$B$200,0)
      ),
      'Data Entry'!$A$2:$B$200,
      2,
      FALSE
   ),
"")</f>
        <v>..\..\werner schönthaler\hanfsteine Sch├Ânthaler Kopie.png</v>
      </c>
    </row>
    <row r="5" spans="1:7" x14ac:dyDescent="0.3">
      <c r="A5" s="53" t="str">
        <f>INDEX(SharedParams[Name],ROW(B4))</f>
        <v>DPP_AUT_GUID</v>
      </c>
      <c r="B5" s="53" t="s">
        <v>487</v>
      </c>
      <c r="C5" s="53" t="str">
        <f>IFERROR(
   IF(
      VLOOKUP(
         INDEX('Shared parameters'!$A$2:$A$200,
                MATCH($A5,'Shared parameters'!$B$2:$B$200,0)
         ),
         'Parameter Categories'!$B$2:$G$200,
         6,
         FALSE
      )="x",
      "No",
      IF(
         VLOOKUP(
            INDEX('Shared parameters'!$A$2:$A$200,
                   MATCH($A5,'Shared parameters'!$B$2:$B$200,0)
            ),
            'Parameter Categories'!$B$2:$G$200,
            5,
            FALSE
         )="x",
         "Yes",
         ""
      )
   ),
"")</f>
        <v>No</v>
      </c>
      <c r="D5" s="55">
        <f>IFERROR(
   VLOOKUP(
      INDEX('Shared parameters'!$A$2:$A$200,
             MATCH($A5,'Shared parameters'!$B$2:$B$200,0)
      ),
      'Data Entry'!$A$2:$B$200,
      2,
      FALSE
   ),
"")</f>
        <v>0</v>
      </c>
    </row>
    <row r="6" spans="1:7" x14ac:dyDescent="0.3">
      <c r="A6" s="53" t="str">
        <f>INDEX(SharedParams[Name],ROW(B5))</f>
        <v>DPP_AUT_MaterialType</v>
      </c>
      <c r="B6" s="53" t="s">
        <v>502</v>
      </c>
      <c r="C6" s="53" t="str">
        <f>IFERROR(
   IF(
      VLOOKUP(
         INDEX('Shared parameters'!$A$2:$A$200,
                MATCH($A6,'Shared parameters'!$B$2:$B$200,0)
         ),
         'Parameter Categories'!$B$2:$G$200,
         6,
         FALSE
      )="x",
      "No",
      IF(
         VLOOKUP(
            INDEX('Shared parameters'!$A$2:$A$200,
                   MATCH($A6,'Shared parameters'!$B$2:$B$200,0)
            ),
            'Parameter Categories'!$B$2:$G$200,
            5,
            FALSE
         )="x",
         "Yes",
         ""
      )
   ),
"")</f>
        <v>No</v>
      </c>
      <c r="D6" s="55" t="str">
        <f>IFERROR(
   VLOOKUP(
      INDEX('Shared parameters'!$A$2:$A$200,
             MATCH($A6,'Shared parameters'!$B$2:$B$200,0)
      ),
      'Data Entry'!$A$2:$B$200,
      2,
      FALSE
   ),
"")</f>
        <v>Type II</v>
      </c>
    </row>
    <row r="7" spans="1:7" ht="28.8" x14ac:dyDescent="0.3">
      <c r="A7" s="53" t="str">
        <f>INDEX(SharedParams[Name],ROW(B6))</f>
        <v>DPP_AUT_Manufacturer</v>
      </c>
      <c r="B7" s="53" t="s">
        <v>487</v>
      </c>
      <c r="C7" s="53" t="str">
        <f>IFERROR(
   IF(
      VLOOKUP(
         INDEX('Shared parameters'!$A$2:$A$200,
                MATCH($A7,'Shared parameters'!$B$2:$B$200,0)
         ),
         'Parameter Categories'!$B$2:$G$200,
         6,
         FALSE
      )="x",
      "No",
      IF(
         VLOOKUP(
            INDEX('Shared parameters'!$A$2:$A$200,
                   MATCH($A7,'Shared parameters'!$B$2:$B$200,0)
            ),
            'Parameter Categories'!$B$2:$G$200,
            5,
            FALSE
         )="x",
         "Yes",
         ""
      )
   ),
"")</f>
        <v>No</v>
      </c>
      <c r="D7" s="55" t="str">
        <f>IFERROR(
   VLOOKUP(
      INDEX('Shared parameters'!$A$2:$A$200,
             MATCH($A7,'Shared parameters'!$B$2:$B$200,0)
      ),
      'Data Entry'!$A$2:$B$200,
      2,
      FALSE
   ),
"")</f>
        <v>Schönthaler Bausteinwerk GmbH</v>
      </c>
    </row>
    <row r="8" spans="1:7" x14ac:dyDescent="0.3">
      <c r="A8" s="53" t="str">
        <f>INDEX(SharedParams[Name],ROW(B7))</f>
        <v>DPP_AUT_Manufacturer_URL</v>
      </c>
      <c r="B8" s="53" t="s">
        <v>487</v>
      </c>
      <c r="C8" s="53" t="str">
        <f>IFERROR(
   IF(
      VLOOKUP(
         INDEX('Shared parameters'!$A$2:$A$200,
                MATCH($A8,'Shared parameters'!$B$2:$B$200,0)
         ),
         'Parameter Categories'!$B$2:$G$200,
         6,
         FALSE
      )="x",
      "No",
      IF(
         VLOOKUP(
            INDEX('Shared parameters'!$A$2:$A$200,
                   MATCH($A8,'Shared parameters'!$B$2:$B$200,0)
            ),
            'Parameter Categories'!$B$2:$G$200,
            5,
            FALSE
         )="x",
         "Yes",
         ""
      )
   ),
"")</f>
        <v>No</v>
      </c>
      <c r="D8" s="55" t="str">
        <f>IFERROR(
   VLOOKUP(
      INDEX('Shared parameters'!$A$2:$A$200,
             MATCH($A8,'Shared parameters'!$B$2:$B$200,0)
      ),
      'Data Entry'!$A$2:$B$200,
      2,
      FALSE
   ),
"")</f>
        <v>https://www.hanfstein.eu/</v>
      </c>
    </row>
    <row r="9" spans="1:7" x14ac:dyDescent="0.3">
      <c r="A9" s="53" t="str">
        <f>INDEX(SharedParams[Name],ROW(B8))</f>
        <v>DPP_AUT_Distribuitor</v>
      </c>
      <c r="B9" s="53" t="s">
        <v>487</v>
      </c>
      <c r="C9" s="53" t="str">
        <f>IFERROR(
   IF(
      VLOOKUP(
         INDEX('Shared parameters'!$A$2:$A$200,
                MATCH($A9,'Shared parameters'!$B$2:$B$200,0)
         ),
         'Parameter Categories'!$B$2:$G$200,
         6,
         FALSE
      )="x",
      "No",
      IF(
         VLOOKUP(
            INDEX('Shared parameters'!$A$2:$A$200,
                   MATCH($A9,'Shared parameters'!$B$2:$B$200,0)
            ),
            'Parameter Categories'!$B$2:$G$200,
            5,
            FALSE
         )="x",
         "Yes",
         ""
      )
   ),
"")</f>
        <v>Yes</v>
      </c>
      <c r="D9" s="55" t="str">
        <f>IFERROR(
   VLOOKUP(
      INDEX('Shared parameters'!$A$2:$A$200,
             MATCH($A9,'Shared parameters'!$B$2:$B$200,0)
      ),
      'Data Entry'!$A$2:$B$200,
      2,
      FALSE
   ),
"")</f>
        <v>NA</v>
      </c>
      <c r="G9" s="35"/>
    </row>
    <row r="10" spans="1:7" x14ac:dyDescent="0.3">
      <c r="A10" s="53" t="str">
        <f>INDEX(SharedParams[Name],ROW(B9))</f>
        <v>DPP_AUT_Distribuitor_URL</v>
      </c>
      <c r="B10" s="53" t="s">
        <v>487</v>
      </c>
      <c r="C10" s="53" t="str">
        <f>IFERROR(
   IF(
      VLOOKUP(
         INDEX('Shared parameters'!$A$2:$A$200,
                MATCH($A10,'Shared parameters'!$B$2:$B$200,0)
         ),
         'Parameter Categories'!$B$2:$G$200,
         6,
         FALSE
      )="x",
      "No",
      IF(
         VLOOKUP(
            INDEX('Shared parameters'!$A$2:$A$200,
                   MATCH($A10,'Shared parameters'!$B$2:$B$200,0)
            ),
            'Parameter Categories'!$B$2:$G$200,
            5,
            FALSE
         )="x",
         "Yes",
         ""
      )
   ),
"")</f>
        <v>Yes</v>
      </c>
      <c r="D10" s="55" t="str">
        <f>IFERROR(
   VLOOKUP(
      INDEX('Shared parameters'!$A$2:$A$200,
             MATCH($A10,'Shared parameters'!$B$2:$B$200,0)
      ),
      'Data Entry'!$A$2:$B$200,
      2,
      FALSE
   ),
"")</f>
        <v>NA</v>
      </c>
      <c r="E10" s="35"/>
    </row>
    <row r="11" spans="1:7" x14ac:dyDescent="0.3">
      <c r="A11" s="53" t="str">
        <f>INDEX(SharedParams[Name],ROW(B10))</f>
        <v>DPP_AUR_Supplier</v>
      </c>
      <c r="B11" s="53" t="s">
        <v>487</v>
      </c>
      <c r="C11" s="53" t="str">
        <f>IFERROR(
   IF(
      VLOOKUP(
         INDEX('Shared parameters'!$A$2:$A$200,
                MATCH($A11,'Shared parameters'!$B$2:$B$200,0)
         ),
         'Parameter Categories'!$B$2:$G$200,
         6,
         FALSE
      )="x",
      "No",
      IF(
         VLOOKUP(
            INDEX('Shared parameters'!$A$2:$A$200,
                   MATCH($A11,'Shared parameters'!$B$2:$B$200,0)
            ),
            'Parameter Categories'!$B$2:$G$200,
            5,
            FALSE
         )="x",
         "Yes",
         ""
      )
   ),
"")</f>
        <v>Yes</v>
      </c>
      <c r="D11" s="55" t="str">
        <f>IFERROR(
   VLOOKUP(
      INDEX('Shared parameters'!$A$2:$A$200,
             MATCH($A11,'Shared parameters'!$B$2:$B$200,0)
      ),
      'Data Entry'!$A$2:$B$200,
      2,
      FALSE
   ),
"")</f>
        <v>NA</v>
      </c>
    </row>
    <row r="12" spans="1:7" x14ac:dyDescent="0.3">
      <c r="A12" s="53" t="str">
        <f>INDEX(SharedParams[Name],ROW(B11))</f>
        <v>DPP_AUR_Supplier_URL</v>
      </c>
      <c r="B12" s="53" t="s">
        <v>487</v>
      </c>
      <c r="C12" s="53" t="str">
        <f>IFERROR(
   IF(
      VLOOKUP(
         INDEX('Shared parameters'!$A$2:$A$200,
                MATCH($A12,'Shared parameters'!$B$2:$B$200,0)
         ),
         'Parameter Categories'!$B$2:$G$200,
         6,
         FALSE
      )="x",
      "No",
      IF(
         VLOOKUP(
            INDEX('Shared parameters'!$A$2:$A$200,
                   MATCH($A12,'Shared parameters'!$B$2:$B$200,0)
            ),
            'Parameter Categories'!$B$2:$G$200,
            5,
            FALSE
         )="x",
         "Yes",
         ""
      )
   ),
"")</f>
        <v>Yes</v>
      </c>
      <c r="D12" s="55" t="str">
        <f>IFERROR(
   VLOOKUP(
      INDEX('Shared parameters'!$A$2:$A$200,
             MATCH($A12,'Shared parameters'!$B$2:$B$200,0)
      ),
      'Data Entry'!$A$2:$B$200,
      2,
      FALSE
   ),
"")</f>
        <v>NA</v>
      </c>
    </row>
    <row r="13" spans="1:7" x14ac:dyDescent="0.3">
      <c r="A13" s="53" t="str">
        <f>INDEX(SharedParams[Name],ROW(B12))</f>
        <v>DPP_AUT_TransRoute</v>
      </c>
      <c r="B13" s="53" t="s">
        <v>487</v>
      </c>
      <c r="C13" s="53" t="str">
        <f>IFERROR(
   IF(
      VLOOKUP(
         INDEX('Shared parameters'!$A$2:$A$200,
                MATCH($A13,'Shared parameters'!$B$2:$B$200,0)
         ),
         'Parameter Categories'!$B$2:$G$200,
         6,
         FALSE
      )="x",
      "No",
      IF(
         VLOOKUP(
            INDEX('Shared parameters'!$A$2:$A$200,
                   MATCH($A13,'Shared parameters'!$B$2:$B$200,0)
            ),
            'Parameter Categories'!$B$2:$G$200,
            5,
            FALSE
         )="x",
         "Yes",
         ""
      )
   ),
"")</f>
        <v>Yes</v>
      </c>
      <c r="D13" s="55">
        <f>IFERROR(
   VLOOKUP(
      INDEX('Shared parameters'!$A$2:$A$200,
             MATCH($A13,'Shared parameters'!$B$2:$B$200,0)
      ),
      'Data Entry'!$A$2:$B$200,
      2,
      FALSE
   ),
"")</f>
        <v>0</v>
      </c>
    </row>
    <row r="14" spans="1:7" x14ac:dyDescent="0.3">
      <c r="A14" s="53" t="str">
        <f>INDEX(SharedParams[Name],ROW(B13))</f>
        <v>DPP_AUT_Traceability</v>
      </c>
      <c r="B14" s="53" t="s">
        <v>487</v>
      </c>
      <c r="C14" s="53" t="str">
        <f>IFERROR(
   IF(
      VLOOKUP(
         INDEX('Shared parameters'!$A$2:$A$200,
                MATCH($A14,'Shared parameters'!$B$2:$B$200,0)
         ),
         'Parameter Categories'!$B$2:$G$200,
         6,
         FALSE
      )="x",
      "No",
      IF(
         VLOOKUP(
            INDEX('Shared parameters'!$A$2:$A$200,
                   MATCH($A14,'Shared parameters'!$B$2:$B$200,0)
            ),
            'Parameter Categories'!$B$2:$G$200,
            5,
            FALSE
         )="x",
         "Yes",
         ""
      )
   ),
"")</f>
        <v>No</v>
      </c>
      <c r="D14" s="55" t="str">
        <f>IFERROR(
   VLOOKUP(
      INDEX('Shared parameters'!$A$2:$A$200,
             MATCH($A14,'Shared parameters'!$B$2:$B$200,0)
      ),
      'Data Entry'!$A$2:$B$200,
      2,
      FALSE
   ),
"")</f>
        <v>a1b2c3d4-e5f6-7890-1234-567890abcdef</v>
      </c>
    </row>
    <row r="15" spans="1:7" x14ac:dyDescent="0.3">
      <c r="A15" s="53" t="str">
        <f>INDEX(SharedParams[Name],ROW(B14))</f>
        <v>DPP_AUT_Origin</v>
      </c>
      <c r="B15" s="53" t="s">
        <v>487</v>
      </c>
      <c r="C15" s="53" t="str">
        <f>IFERROR(
   IF(
      VLOOKUP(
         INDEX('Shared parameters'!$A$2:$A$200,
                MATCH($A15,'Shared parameters'!$B$2:$B$200,0)
         ),
         'Parameter Categories'!$B$2:$G$200,
         6,
         FALSE
      )="x",
      "No",
      IF(
         VLOOKUP(
            INDEX('Shared parameters'!$A$2:$A$200,
                   MATCH($A15,'Shared parameters'!$B$2:$B$200,0)
            ),
            'Parameter Categories'!$B$2:$G$200,
            5,
            FALSE
         )="x",
         "Yes",
         ""
      )
   ),
"")</f>
        <v>No</v>
      </c>
      <c r="D15" s="55" t="str">
        <f>IFERROR(
   VLOOKUP(
      INDEX('Shared parameters'!$A$2:$A$200,
             MATCH($A15,'Shared parameters'!$B$2:$B$200,0)
      ),
      'Data Entry'!$A$2:$B$200,
      2,
      FALSE
   ),
"")</f>
        <v>39020 Oris (BZ)</v>
      </c>
      <c r="G15" s="35"/>
    </row>
    <row r="16" spans="1:7" x14ac:dyDescent="0.3">
      <c r="A16" s="53" t="str">
        <f>INDEX(SharedParams[Name],ROW(B15))</f>
        <v>DPP_AUT_Version</v>
      </c>
      <c r="B16" s="53" t="s">
        <v>487</v>
      </c>
      <c r="C16" s="53" t="str">
        <f>IFERROR(
   IF(
      VLOOKUP(
         INDEX('Shared parameters'!$A$2:$A$200,
                MATCH($A16,'Shared parameters'!$B$2:$B$200,0)
         ),
         'Parameter Categories'!$B$2:$G$200,
         6,
         FALSE
      )="x",
      "No",
      IF(
         VLOOKUP(
            INDEX('Shared parameters'!$A$2:$A$200,
                   MATCH($A16,'Shared parameters'!$B$2:$B$200,0)
            ),
            'Parameter Categories'!$B$2:$G$200,
            5,
            FALSE
         )="x",
         "Yes",
         ""
      )
   ),
"")</f>
        <v>No</v>
      </c>
      <c r="D16" s="55" t="str">
        <f>IFERROR(
   VLOOKUP(
      INDEX('Shared parameters'!$A$2:$A$200,
             MATCH($A16,'Shared parameters'!$B$2:$B$200,0)
      ),
      'Data Entry'!$A$2:$B$200,
      2,
      FALSE
   ),
"")</f>
        <v>HKZ 335</v>
      </c>
      <c r="G16" s="35"/>
    </row>
    <row r="17" spans="1:4" ht="28.8" x14ac:dyDescent="0.3">
      <c r="A17" s="53" t="str">
        <f>INDEX(SharedParams[Name],ROW(B16))</f>
        <v>DPP_MAT_Material</v>
      </c>
      <c r="B17" s="53" t="s">
        <v>502</v>
      </c>
      <c r="C17" s="53" t="str">
        <f>IFERROR(
   IF(
      VLOOKUP(
         INDEX('Shared parameters'!$A$2:$A$200,
                MATCH($A17,'Shared parameters'!$B$2:$B$200,0)
         ),
         'Parameter Categories'!$B$2:$G$200,
         6,
         FALSE
      )="x",
      "No",
      IF(
         VLOOKUP(
            INDEX('Shared parameters'!$A$2:$A$200,
                   MATCH($A17,'Shared parameters'!$B$2:$B$200,0)
            ),
            'Parameter Categories'!$B$2:$G$200,
            5,
            FALSE
         )="x",
         "Yes",
         ""
      )
   ),
"")</f>
        <v>Yes</v>
      </c>
      <c r="D17" s="55" t="str">
        <f>IFERROR(
   VLOOKUP(
      INDEX('Shared parameters'!$A$2:$A$200,
             MATCH($A17,'Shared parameters'!$B$2:$B$200,0)
      ),
      'Data Entry'!$A$2:$B$200,
      2,
      FALSE
   ),
"")</f>
        <v xml:space="preserve">Infill masonry made of hemp stones </v>
      </c>
    </row>
    <row r="18" spans="1:4" ht="57.6" x14ac:dyDescent="0.3">
      <c r="A18" s="53" t="str">
        <f>INDEX(SharedParams[Name],ROW(B17))</f>
        <v>DPP_MAT_Components</v>
      </c>
      <c r="B18" s="53" t="s">
        <v>502</v>
      </c>
      <c r="C18" s="53" t="str">
        <f>IFERROR(
   IF(
      VLOOKUP(
         INDEX('Shared parameters'!$A$2:$A$200,
                MATCH($A18,'Shared parameters'!$B$2:$B$200,0)
         ),
         'Parameter Categories'!$B$2:$G$200,
         6,
         FALSE
      )="x",
      "No",
      IF(
         VLOOKUP(
            INDEX('Shared parameters'!$A$2:$A$200,
                   MATCH($A18,'Shared parameters'!$B$2:$B$200,0)
            ),
            'Parameter Categories'!$B$2:$G$200,
            5,
            FALSE
         )="x",
         "Yes",
         ""
      )
   ),
"")</f>
        <v>No</v>
      </c>
      <c r="D18" s="55" t="str">
        <f>IFERROR(
   VLOOKUP(
      INDEX('Shared parameters'!$A$2:$A$200,
             MATCH($A18,'Shared parameters'!$B$2:$B$200,0)
      ),
      'Data Entry'!$A$2:$B$200,
      2,
      FALSE
   ),
"")</f>
        <v xml:space="preserve">8 hempstone bricks of 8x50x20 with a 1/3 displacement with hemp-lime mortar </v>
      </c>
    </row>
    <row r="19" spans="1:4" x14ac:dyDescent="0.3">
      <c r="A19" s="53" t="str">
        <f>INDEX(SharedParams[Name],ROW(B18))</f>
        <v>DPP_MAT_Composition</v>
      </c>
      <c r="B19" s="53" t="s">
        <v>502</v>
      </c>
      <c r="C19" s="53" t="str">
        <f>IFERROR(
   IF(
      VLOOKUP(
         INDEX('Shared parameters'!$A$2:$A$200,
                MATCH($A19,'Shared parameters'!$B$2:$B$200,0)
         ),
         'Parameter Categories'!$B$2:$G$200,
         6,
         FALSE
      )="x",
      "No",
      IF(
         VLOOKUP(
            INDEX('Shared parameters'!$A$2:$A$200,
                   MATCH($A19,'Shared parameters'!$B$2:$B$200,0)
            ),
            'Parameter Categories'!$B$2:$G$200,
            5,
            FALSE
         )="x",
         "Yes",
         ""
      )
   ),
"")</f>
        <v>No</v>
      </c>
      <c r="D19" s="55" t="str">
        <f>IFERROR(
   VLOOKUP(
      INDEX('Shared parameters'!$A$2:$A$200,
             MATCH($A19,'Shared parameters'!$B$2:$B$200,0)
      ),
      'Data Entry'!$A$2:$B$200,
      2,
      FALSE
   ),
"")</f>
        <v xml:space="preserve">Hemp-lime composite </v>
      </c>
    </row>
    <row r="20" spans="1:4" x14ac:dyDescent="0.3">
      <c r="A20" s="53" t="str">
        <f>INDEX(SharedParams[Name],ROW(B19))</f>
        <v>DPP_AUT_TypeDimension</v>
      </c>
      <c r="B20" s="53" t="s">
        <v>502</v>
      </c>
      <c r="C20" s="53" t="str">
        <f>IFERROR(
   IF(
      VLOOKUP(
         INDEX('Shared parameters'!$A$2:$A$200,
                MATCH($A20,'Shared parameters'!$B$2:$B$200,0)
         ),
         'Parameter Categories'!$B$2:$G$200,
         6,
         FALSE
      )="x",
      "No",
      IF(
         VLOOKUP(
            INDEX('Shared parameters'!$A$2:$A$200,
                   MATCH($A20,'Shared parameters'!$B$2:$B$200,0)
            ),
            'Parameter Categories'!$B$2:$G$200,
            5,
            FALSE
         )="x",
         "Yes",
         ""
      )
   ),
"")</f>
        <v>No</v>
      </c>
      <c r="D20" s="55" t="str">
        <f>IFERROR(
   VLOOKUP(
      INDEX('Shared parameters'!$A$2:$A$200,
             MATCH($A20,'Shared parameters'!$B$2:$B$200,0)
      ),
      'Data Entry'!$A$2:$B$200,
      2,
      FALSE
   ),
"")</f>
        <v>8x50x20</v>
      </c>
    </row>
    <row r="21" spans="1:4" x14ac:dyDescent="0.3">
      <c r="A21" s="53" t="str">
        <f>INDEX(SharedParams[Name],ROW(B20))</f>
        <v>DPP_DIM_Height_mm</v>
      </c>
      <c r="B21" s="53" t="s">
        <v>42</v>
      </c>
      <c r="C21" s="53" t="str">
        <f>IFERROR(
   IF(
      VLOOKUP(
         INDEX('Shared parameters'!$A$2:$A$200,
                MATCH($A21,'Shared parameters'!$B$2:$B$200,0)
         ),
         'Parameter Categories'!$B$2:$G$200,
         6,
         FALSE
      )="x",
      "No",
      IF(
         VLOOKUP(
            INDEX('Shared parameters'!$A$2:$A$200,
                   MATCH($A21,'Shared parameters'!$B$2:$B$200,0)
            ),
            'Parameter Categories'!$B$2:$G$200,
            5,
            FALSE
         )="x",
         "Yes",
         ""
      )
   ),
"")</f>
        <v>No</v>
      </c>
      <c r="D21" s="55">
        <f>IFERROR(
   VLOOKUP(
      INDEX('Shared parameters'!$A$2:$A$200,
             MATCH($A21,'Shared parameters'!$B$2:$B$200,0)
      ),
      'Data Entry'!$A$2:$B$200,
      2,
      FALSE
   ),
"")</f>
        <v>200</v>
      </c>
    </row>
    <row r="22" spans="1:4" x14ac:dyDescent="0.3">
      <c r="A22" s="53" t="str">
        <f>INDEX(SharedParams[Name],ROW(B21))</f>
        <v>DPP_DIM_Length_mm</v>
      </c>
      <c r="B22" s="53" t="s">
        <v>42</v>
      </c>
      <c r="C22" s="53" t="str">
        <f>IFERROR(
   IF(
      VLOOKUP(
         INDEX('Shared parameters'!$A$2:$A$200,
                MATCH($A22,'Shared parameters'!$B$2:$B$200,0)
         ),
         'Parameter Categories'!$B$2:$G$200,
         6,
         FALSE
      )="x",
      "No",
      IF(
         VLOOKUP(
            INDEX('Shared parameters'!$A$2:$A$200,
                   MATCH($A22,'Shared parameters'!$B$2:$B$200,0)
            ),
            'Parameter Categories'!$B$2:$G$200,
            5,
            FALSE
         )="x",
         "Yes",
         ""
      )
   ),
"")</f>
        <v>No</v>
      </c>
      <c r="D22" s="55">
        <f>IFERROR(
   VLOOKUP(
      INDEX('Shared parameters'!$A$2:$A$200,
             MATCH($A22,'Shared parameters'!$B$2:$B$200,0)
      ),
      'Data Entry'!$A$2:$B$200,
      2,
      FALSE
   ),
"")</f>
        <v>80</v>
      </c>
    </row>
    <row r="23" spans="1:4" x14ac:dyDescent="0.3">
      <c r="A23" s="53" t="str">
        <f>INDEX(SharedParams[Name],ROW(B22))</f>
        <v>DPP_DIM_Width_mm</v>
      </c>
      <c r="B23" s="53" t="s">
        <v>42</v>
      </c>
      <c r="C23" s="53" t="str">
        <f>IFERROR(
   IF(
      VLOOKUP(
         INDEX('Shared parameters'!$A$2:$A$200,
                MATCH($A23,'Shared parameters'!$B$2:$B$200,0)
         ),
         'Parameter Categories'!$B$2:$G$200,
         6,
         FALSE
      )="x",
      "No",
      IF(
         VLOOKUP(
            INDEX('Shared parameters'!$A$2:$A$200,
                   MATCH($A23,'Shared parameters'!$B$2:$B$200,0)
            ),
            'Parameter Categories'!$B$2:$G$200,
            5,
            FALSE
         )="x",
         "Yes",
         ""
      )
   ),
"")</f>
        <v>No</v>
      </c>
      <c r="D23" s="55">
        <f>IFERROR(
   VLOOKUP(
      INDEX('Shared parameters'!$A$2:$A$200,
             MATCH($A23,'Shared parameters'!$B$2:$B$200,0)
      ),
      'Data Entry'!$A$2:$B$200,
      2,
      FALSE
   ),
"")</f>
        <v>500</v>
      </c>
    </row>
    <row r="24" spans="1:4" x14ac:dyDescent="0.3">
      <c r="A24" s="53" t="str">
        <f>INDEX(SharedParams[Name],ROW(B23))</f>
        <v>DPP_DIM_Volume_m3</v>
      </c>
      <c r="B24" s="53" t="s">
        <v>42</v>
      </c>
      <c r="C24" s="53" t="str">
        <f>IFERROR(
   IF(
      VLOOKUP(
         INDEX('Shared parameters'!$A$2:$A$200,
                MATCH($A24,'Shared parameters'!$B$2:$B$200,0)
         ),
         'Parameter Categories'!$B$2:$G$200,
         6,
         FALSE
      )="x",
      "No",
      IF(
         VLOOKUP(
            INDEX('Shared parameters'!$A$2:$A$200,
                   MATCH($A24,'Shared parameters'!$B$2:$B$200,0)
            ),
            'Parameter Categories'!$B$2:$G$200,
            5,
            FALSE
         )="x",
         "Yes",
         ""
      )
   ),
"")</f>
        <v>No</v>
      </c>
      <c r="D24" s="55">
        <f>IFERROR(
   VLOOKUP(
      INDEX('Shared parameters'!$A$2:$A$200,
             MATCH($A24,'Shared parameters'!$B$2:$B$200,0)
      ),
      'Data Entry'!$A$2:$B$200,
      2,
      FALSE
   ),
"")</f>
        <v>8.0000000000000002E-3</v>
      </c>
    </row>
    <row r="25" spans="1:4" x14ac:dyDescent="0.3">
      <c r="A25" s="53" t="str">
        <f>INDEX(SharedParams[Name],ROW(B24))</f>
        <v>DPP_DAT_DryDensity_kgm3</v>
      </c>
      <c r="B25" s="53" t="s">
        <v>42</v>
      </c>
      <c r="C25" s="53" t="str">
        <f>IFERROR(
   IF(
      VLOOKUP(
         INDEX('Shared parameters'!$A$2:$A$200,
                MATCH($A25,'Shared parameters'!$B$2:$B$200,0)
         ),
         'Parameter Categories'!$B$2:$G$200,
         6,
         FALSE
      )="x",
      "No",
      IF(
         VLOOKUP(
            INDEX('Shared parameters'!$A$2:$A$200,
                   MATCH($A25,'Shared parameters'!$B$2:$B$200,0)
            ),
            'Parameter Categories'!$B$2:$G$200,
            5,
            FALSE
         )="x",
         "Yes",
         ""
      )
   ),
"")</f>
        <v>No</v>
      </c>
      <c r="D25" s="55">
        <f>IFERROR(
   VLOOKUP(
      INDEX('Shared parameters'!$A$2:$A$200,
             MATCH($A25,'Shared parameters'!$B$2:$B$200,0)
      ),
      'Data Entry'!$A$2:$B$200,
      2,
      FALSE
   ),
"")</f>
        <v>335</v>
      </c>
    </row>
    <row r="26" spans="1:4" x14ac:dyDescent="0.3">
      <c r="A26" s="53" t="str">
        <f>INDEX(SharedParams[Name],ROW(B25))</f>
        <v>DPP_DAT_EqDensity_kgm3</v>
      </c>
      <c r="B26" s="53" t="s">
        <v>42</v>
      </c>
      <c r="C26" s="53" t="str">
        <f>IFERROR(
   IF(
      VLOOKUP(
         INDEX('Shared parameters'!$A$2:$A$200,
                MATCH($A26,'Shared parameters'!$B$2:$B$200,0)
         ),
         'Parameter Categories'!$B$2:$G$200,
         6,
         FALSE
      )="x",
      "No",
      IF(
         VLOOKUP(
            INDEX('Shared parameters'!$A$2:$A$200,
                   MATCH($A26,'Shared parameters'!$B$2:$B$200,0)
            ),
            'Parameter Categories'!$B$2:$G$200,
            5,
            FALSE
         )="x",
         "Yes",
         ""
      )
   ),
"")</f>
        <v>No</v>
      </c>
      <c r="D26" s="55">
        <f>IFERROR(
   VLOOKUP(
      INDEX('Shared parameters'!$A$2:$A$200,
             MATCH($A26,'Shared parameters'!$B$2:$B$200,0)
      ),
      'Data Entry'!$A$2:$B$200,
      2,
      FALSE
   ),
"")</f>
        <v>405</v>
      </c>
    </row>
    <row r="27" spans="1:4" x14ac:dyDescent="0.3">
      <c r="A27" s="53" t="str">
        <f>INDEX(SharedParams[Name],ROW(B26))</f>
        <v>DPP_DAT_Weight_kg</v>
      </c>
      <c r="B27" s="53" t="s">
        <v>42</v>
      </c>
      <c r="C27" s="53" t="str">
        <f>IFERROR(
   IF(
      VLOOKUP(
         INDEX('Shared parameters'!$A$2:$A$200,
                MATCH($A27,'Shared parameters'!$B$2:$B$200,0)
         ),
         'Parameter Categories'!$B$2:$G$200,
         6,
         FALSE
      )="x",
      "No",
      IF(
         VLOOKUP(
            INDEX('Shared parameters'!$A$2:$A$200,
                   MATCH($A27,'Shared parameters'!$B$2:$B$200,0)
            ),
            'Parameter Categories'!$B$2:$G$200,
            5,
            FALSE
         )="x",
         "Yes",
         ""
      )
   ),
"")</f>
        <v>No</v>
      </c>
      <c r="D27" s="55">
        <f>IFERROR(
   VLOOKUP(
      INDEX('Shared parameters'!$A$2:$A$200,
             MATCH($A27,'Shared parameters'!$B$2:$B$200,0)
      ),
      'Data Entry'!$A$2:$B$200,
      2,
      FALSE
   ),
"")</f>
        <v>2.68</v>
      </c>
    </row>
    <row r="28" spans="1:4" x14ac:dyDescent="0.3">
      <c r="A28" s="53" t="str">
        <f>INDEX(SharedParams[Name],ROW(B27))</f>
        <v>DPP_DAT_CompressiveStrenght_Mpa</v>
      </c>
      <c r="B28" s="53" t="s">
        <v>568</v>
      </c>
      <c r="C28" s="53" t="str">
        <f>IFERROR(
   IF(
      VLOOKUP(
         INDEX('Shared parameters'!$A$2:$A$200,
                MATCH($A28,'Shared parameters'!$B$2:$B$200,0)
         ),
         'Parameter Categories'!$B$2:$G$200,
         6,
         FALSE
      )="x",
      "No",
      IF(
         VLOOKUP(
            INDEX('Shared parameters'!$A$2:$A$200,
                   MATCH($A28,'Shared parameters'!$B$2:$B$200,0)
            ),
            'Parameter Categories'!$B$2:$G$200,
            5,
            FALSE
         )="x",
         "Yes",
         ""
      )
   ),
"")</f>
        <v>No</v>
      </c>
      <c r="D28" s="55">
        <f>IFERROR(
   VLOOKUP(
      INDEX('Shared parameters'!$A$2:$A$200,
             MATCH($A28,'Shared parameters'!$B$2:$B$200,0)
      ),
      'Data Entry'!$A$2:$B$200,
      2,
      FALSE
   ),
"")</f>
        <v>0.5</v>
      </c>
    </row>
    <row r="29" spans="1:4" x14ac:dyDescent="0.3">
      <c r="A29" s="53" t="str">
        <f>INDEX(SharedParams[Name],ROW(B28))</f>
        <v>DPP_DAT_ShearStrenght_Mpa</v>
      </c>
      <c r="B29" s="53" t="s">
        <v>568</v>
      </c>
      <c r="C29" s="53" t="str">
        <f>IFERROR(
   IF(
      VLOOKUP(
         INDEX('Shared parameters'!$A$2:$A$200,
                MATCH($A29,'Shared parameters'!$B$2:$B$200,0)
         ),
         'Parameter Categories'!$B$2:$G$200,
         6,
         FALSE
      )="x",
      "No",
      IF(
         VLOOKUP(
            INDEX('Shared parameters'!$A$2:$A$200,
                   MATCH($A29,'Shared parameters'!$B$2:$B$200,0)
            ),
            'Parameter Categories'!$B$2:$G$200,
            5,
            FALSE
         )="x",
         "Yes",
         ""
      )
   ),
"")</f>
        <v>No</v>
      </c>
      <c r="D29" s="55">
        <f>IFERROR(
   VLOOKUP(
      INDEX('Shared parameters'!$A$2:$A$200,
             MATCH($A29,'Shared parameters'!$B$2:$B$200,0)
      ),
      'Data Entry'!$A$2:$B$200,
      2,
      FALSE
   ),
"")</f>
        <v>0.12</v>
      </c>
    </row>
    <row r="30" spans="1:4" x14ac:dyDescent="0.3">
      <c r="A30" s="53" t="str">
        <f>INDEX(SharedParams[Name],ROW(B29))</f>
        <v>DPP_DAT_ThermalConductivity_WmK</v>
      </c>
      <c r="B30" s="53" t="s">
        <v>463</v>
      </c>
      <c r="C30" s="53" t="str">
        <f>IFERROR(
   IF(
      VLOOKUP(
         INDEX('Shared parameters'!$A$2:$A$200,
                MATCH($A30,'Shared parameters'!$B$2:$B$200,0)
         ),
         'Parameter Categories'!$B$2:$G$200,
         6,
         FALSE
      )="x",
      "No",
      IF(
         VLOOKUP(
            INDEX('Shared parameters'!$A$2:$A$200,
                   MATCH($A30,'Shared parameters'!$B$2:$B$200,0)
            ),
            'Parameter Categories'!$B$2:$G$200,
            5,
            FALSE
         )="x",
         "Yes",
         ""
      )
   ),
"")</f>
        <v>No</v>
      </c>
      <c r="D30" s="55">
        <f>IFERROR(
   VLOOKUP(
      INDEX('Shared parameters'!$A$2:$A$200,
             MATCH($A30,'Shared parameters'!$B$2:$B$200,0)
      ),
      'Data Entry'!$A$2:$B$200,
      2,
      FALSE
   ),
"")</f>
        <v>7.0000000000000007E-2</v>
      </c>
    </row>
    <row r="31" spans="1:4" x14ac:dyDescent="0.3">
      <c r="A31" s="53" t="str">
        <f>INDEX(SharedParams[Name],ROW(B30))</f>
        <v>DPP_DAT_Uvalue_Wm2K</v>
      </c>
      <c r="B31" s="53" t="s">
        <v>463</v>
      </c>
      <c r="C31" s="53" t="str">
        <f>IFERROR(
   IF(
      VLOOKUP(
         INDEX('Shared parameters'!$A$2:$A$200,
                MATCH($A31,'Shared parameters'!$B$2:$B$200,0)
         ),
         'Parameter Categories'!$B$2:$G$200,
         6,
         FALSE
      )="x",
      "No",
      IF(
         VLOOKUP(
            INDEX('Shared parameters'!$A$2:$A$200,
                   MATCH($A31,'Shared parameters'!$B$2:$B$200,0)
            ),
            'Parameter Categories'!$B$2:$G$200,
            5,
            FALSE
         )="x",
         "Yes",
         ""
      )
   ),
"")</f>
        <v>No</v>
      </c>
      <c r="D31" s="55">
        <f>IFERROR(
   VLOOKUP(
      INDEX('Shared parameters'!$A$2:$A$200,
             MATCH($A31,'Shared parameters'!$B$2:$B$200,0)
      ),
      'Data Entry'!$A$2:$B$200,
      2,
      FALSE
   ),
"")</f>
        <v>0.76</v>
      </c>
    </row>
    <row r="32" spans="1:4" x14ac:dyDescent="0.3">
      <c r="A32" s="53" t="str">
        <f>INDEX(SharedParams[Name],ROW(B31))</f>
        <v>DPP_DAT_SpeHeatCap_JkgK</v>
      </c>
      <c r="B32" s="53" t="s">
        <v>463</v>
      </c>
      <c r="C32" s="53" t="str">
        <f>IFERROR(
   IF(
      VLOOKUP(
         INDEX('Shared parameters'!$A$2:$A$200,
                MATCH($A32,'Shared parameters'!$B$2:$B$200,0)
         ),
         'Parameter Categories'!$B$2:$G$200,
         6,
         FALSE
      )="x",
      "No",
      IF(
         VLOOKUP(
            INDEX('Shared parameters'!$A$2:$A$200,
                   MATCH($A32,'Shared parameters'!$B$2:$B$200,0)
            ),
            'Parameter Categories'!$B$2:$G$200,
            5,
            FALSE
         )="x",
         "Yes",
         ""
      )
   ),
"")</f>
        <v>No</v>
      </c>
      <c r="D32" s="55">
        <f>IFERROR(
   VLOOKUP(
      INDEX('Shared parameters'!$A$2:$A$200,
             MATCH($A32,'Shared parameters'!$B$2:$B$200,0)
      ),
      'Data Entry'!$A$2:$B$200,
      2,
      FALSE
   ),
"")</f>
        <v>1870</v>
      </c>
    </row>
    <row r="33" spans="1:4" x14ac:dyDescent="0.3">
      <c r="A33" s="53" t="str">
        <f>INDEX(SharedParams[Name],ROW(B32))</f>
        <v>DPP_DAT_PhaseShift_Hours</v>
      </c>
      <c r="B33" s="53" t="s">
        <v>463</v>
      </c>
      <c r="C33" s="53" t="str">
        <f>IFERROR(
   IF(
      VLOOKUP(
         INDEX('Shared parameters'!$A$2:$A$200,
                MATCH($A33,'Shared parameters'!$B$2:$B$200,0)
         ),
         'Parameter Categories'!$B$2:$G$200,
         6,
         FALSE
      )="x",
      "No",
      IF(
         VLOOKUP(
            INDEX('Shared parameters'!$A$2:$A$200,
                   MATCH($A33,'Shared parameters'!$B$2:$B$200,0)
            ),
            'Parameter Categories'!$B$2:$G$200,
            5,
            FALSE
         )="x",
         "Yes",
         ""
      )
   ),
"")</f>
        <v>No</v>
      </c>
      <c r="D33" s="55">
        <f>IFERROR(
   VLOOKUP(
      INDEX('Shared parameters'!$A$2:$A$200,
             MATCH($A33,'Shared parameters'!$B$2:$B$200,0)
      ),
      'Data Entry'!$A$2:$B$200,
      2,
      FALSE
   ),
"")</f>
        <v>0.13125000000000001</v>
      </c>
    </row>
    <row r="34" spans="1:4" x14ac:dyDescent="0.3">
      <c r="A34" s="53" t="str">
        <f>INDEX(SharedParams[Name],ROW(B33))</f>
        <v>DPP_DAT_MoistureBuffer_m2%HR</v>
      </c>
      <c r="B34" s="53" t="s">
        <v>476</v>
      </c>
      <c r="C34" s="53" t="str">
        <f>IFERROR(
   IF(
      VLOOKUP(
         INDEX('Shared parameters'!$A$2:$A$200,
                MATCH($A34,'Shared parameters'!$B$2:$B$200,0)
         ),
         'Parameter Categories'!$B$2:$G$200,
         6,
         FALSE
      )="x",
      "No",
      IF(
         VLOOKUP(
            INDEX('Shared parameters'!$A$2:$A$200,
                   MATCH($A34,'Shared parameters'!$B$2:$B$200,0)
            ),
            'Parameter Categories'!$B$2:$G$200,
            5,
            FALSE
         )="x",
         "Yes",
         ""
      )
   ),
"")</f>
        <v>No</v>
      </c>
      <c r="D34" s="55">
        <f>IFERROR(
   VLOOKUP(
      INDEX('Shared parameters'!$A$2:$A$200,
             MATCH($A34,'Shared parameters'!$B$2:$B$200,0)
      ),
      'Data Entry'!$A$2:$B$200,
      2,
      FALSE
   ),
"")</f>
        <v>2.35</v>
      </c>
    </row>
    <row r="35" spans="1:4" x14ac:dyDescent="0.3">
      <c r="A35" s="53" t="str">
        <f>INDEX(SharedParams[Name],ROW(B34))</f>
        <v>DPP_DAT_VaporDiffμ_wet</v>
      </c>
      <c r="B35" s="53" t="s">
        <v>476</v>
      </c>
      <c r="C35" s="53" t="str">
        <f>IFERROR(
   IF(
      VLOOKUP(
         INDEX('Shared parameters'!$A$2:$A$200,
                MATCH($A35,'Shared parameters'!$B$2:$B$200,0)
         ),
         'Parameter Categories'!$B$2:$G$200,
         6,
         FALSE
      )="x",
      "No",
      IF(
         VLOOKUP(
            INDEX('Shared parameters'!$A$2:$A$200,
                   MATCH($A35,'Shared parameters'!$B$2:$B$200,0)
            ),
            'Parameter Categories'!$B$2:$G$200,
            5,
            FALSE
         )="x",
         "Yes",
         ""
      )
   ),
"")</f>
        <v>No</v>
      </c>
      <c r="D35" s="55">
        <f>IFERROR(
   VLOOKUP(
      INDEX('Shared parameters'!$A$2:$A$200,
             MATCH($A35,'Shared parameters'!$B$2:$B$200,0)
      ),
      'Data Entry'!$A$2:$B$200,
      2,
      FALSE
   ),
"")</f>
        <v>3.8</v>
      </c>
    </row>
    <row r="36" spans="1:4" x14ac:dyDescent="0.3">
      <c r="A36" s="53" t="str">
        <f>INDEX(SharedParams[Name],ROW(B35))</f>
        <v>DPP_DAT_VaporDiffμ_dry</v>
      </c>
      <c r="B36" s="53" t="s">
        <v>476</v>
      </c>
      <c r="C36" s="53" t="str">
        <f>IFERROR(
   IF(
      VLOOKUP(
         INDEX('Shared parameters'!$A$2:$A$200,
                MATCH($A36,'Shared parameters'!$B$2:$B$200,0)
         ),
         'Parameter Categories'!$B$2:$G$200,
         6,
         FALSE
      )="x",
      "No",
      IF(
         VLOOKUP(
            INDEX('Shared parameters'!$A$2:$A$200,
                   MATCH($A36,'Shared parameters'!$B$2:$B$200,0)
            ),
            'Parameter Categories'!$B$2:$G$200,
            5,
            FALSE
         )="x",
         "Yes",
         ""
      )
   ),
"")</f>
        <v>No</v>
      </c>
      <c r="D36" s="55">
        <f>IFERROR(
   VLOOKUP(
      INDEX('Shared parameters'!$A$2:$A$200,
             MATCH($A36,'Shared parameters'!$B$2:$B$200,0)
      ),
      'Data Entry'!$A$2:$B$200,
      2,
      FALSE
   ),
"")</f>
        <v>4.3</v>
      </c>
    </row>
    <row r="37" spans="1:4" x14ac:dyDescent="0.3">
      <c r="A37" s="53" t="str">
        <f>INDEX(SharedParams[Name],ROW(B36))</f>
        <v>DPP_DAT_VaporAbsorption</v>
      </c>
      <c r="B37" s="53" t="s">
        <v>476</v>
      </c>
      <c r="C37" s="53" t="str">
        <f>IFERROR(
   IF(
      VLOOKUP(
         INDEX('Shared parameters'!$A$2:$A$200,
                MATCH($A37,'Shared parameters'!$B$2:$B$200,0)
         ),
         'Parameter Categories'!$B$2:$G$200,
         6,
         FALSE
      )="x",
      "No",
      IF(
         VLOOKUP(
            INDEX('Shared parameters'!$A$2:$A$200,
                   MATCH($A37,'Shared parameters'!$B$2:$B$200,0)
            ),
            'Parameter Categories'!$B$2:$G$200,
            5,
            FALSE
         )="x",
         "Yes",
         ""
      )
   ),
"")</f>
        <v>No</v>
      </c>
      <c r="D37" s="55">
        <f>IFERROR(
   VLOOKUP(
      INDEX('Shared parameters'!$A$2:$A$200,
             MATCH($A37,'Shared parameters'!$B$2:$B$200,0)
      ),
      'Data Entry'!$A$2:$B$200,
      2,
      FALSE
   ),
"")</f>
        <v>19</v>
      </c>
    </row>
    <row r="38" spans="1:4" x14ac:dyDescent="0.3">
      <c r="A38" s="53" t="str">
        <f>INDEX(SharedParams[Name],ROW(B37))</f>
        <v>DPP_DAT_StandarCompliance</v>
      </c>
      <c r="B38" s="53" t="s">
        <v>487</v>
      </c>
      <c r="C38" s="53" t="str">
        <f>IFERROR(
   IF(
      VLOOKUP(
         INDEX('Shared parameters'!$A$2:$A$200,
                MATCH($A38,'Shared parameters'!$B$2:$B$200,0)
         ),
         'Parameter Categories'!$B$2:$G$200,
         6,
         FALSE
      )="x",
      "No",
      IF(
         VLOOKUP(
            INDEX('Shared parameters'!$A$2:$A$200,
                   MATCH($A38,'Shared parameters'!$B$2:$B$200,0)
            ),
            'Parameter Categories'!$B$2:$G$200,
            5,
            FALSE
         )="x",
         "Yes",
         ""
      )
   ),
"")</f>
        <v>No</v>
      </c>
      <c r="D38" s="55" t="str">
        <f>IFERROR(
   VLOOKUP(
      INDEX('Shared parameters'!$A$2:$A$200,
             MATCH($A38,'Shared parameters'!$B$2:$B$200,0)
      ),
      'Data Entry'!$A$2:$B$200,
      2,
      FALSE
   ),
"")</f>
        <v>Yes</v>
      </c>
    </row>
    <row r="39" spans="1:4" x14ac:dyDescent="0.3">
      <c r="A39" s="53" t="str">
        <f>INDEX(SharedParams[Name],ROW(B38))</f>
        <v>DPP_CIR_ConnectionType</v>
      </c>
      <c r="B39" s="53" t="s">
        <v>427</v>
      </c>
      <c r="C39" s="53" t="str">
        <f>IFERROR(
   IF(
      VLOOKUP(
         INDEX('Shared parameters'!$A$2:$A$200,
                MATCH($A39,'Shared parameters'!$B$2:$B$200,0)
         ),
         'Parameter Categories'!$B$2:$G$200,
         6,
         FALSE
      )="x",
      "No",
      IF(
         VLOOKUP(
            INDEX('Shared parameters'!$A$2:$A$200,
                   MATCH($A39,'Shared parameters'!$B$2:$B$200,0)
            ),
            'Parameter Categories'!$B$2:$G$200,
            5,
            FALSE
         )="x",
         "Yes",
         ""
      )
   ),
"")</f>
        <v>No</v>
      </c>
      <c r="D39" s="55" t="str">
        <f>IFERROR(
   VLOOKUP(
      INDEX('Shared parameters'!$A$2:$A$200,
             MATCH($A39,'Shared parameters'!$B$2:$B$200,0)
      ),
      'Data Entry'!$A$2:$B$200,
      2,
      FALSE
   ),
"")</f>
        <v>Mortar</v>
      </c>
    </row>
    <row r="40" spans="1:4" x14ac:dyDescent="0.3">
      <c r="A40" s="53" t="str">
        <f>INDEX(SharedParams[Name],ROW(B39))</f>
        <v>DPP_CIR_ConnectionScore</v>
      </c>
      <c r="B40" s="53" t="s">
        <v>427</v>
      </c>
      <c r="C40" s="53" t="str">
        <f>IFERROR(
   IF(
      VLOOKUP(
         INDEX('Shared parameters'!$A$2:$A$200,
                MATCH($A40,'Shared parameters'!$B$2:$B$200,0)
         ),
         'Parameter Categories'!$B$2:$G$200,
         6,
         FALSE
      )="x",
      "No",
      IF(
         VLOOKUP(
            INDEX('Shared parameters'!$A$2:$A$200,
                   MATCH($A40,'Shared parameters'!$B$2:$B$200,0)
            ),
            'Parameter Categories'!$B$2:$G$200,
            5,
            FALSE
         )="x",
         "Yes",
         ""
      )
   ),
"")</f>
        <v>No</v>
      </c>
      <c r="D40" s="55">
        <f>IFERROR(
   VLOOKUP(
      INDEX('Shared parameters'!$A$2:$A$200,
             MATCH($A40,'Shared parameters'!$B$2:$B$200,0)
      ),
      'Data Entry'!$A$2:$B$200,
      2,
      FALSE
   ),
"")</f>
        <v>0.3</v>
      </c>
    </row>
    <row r="41" spans="1:4" x14ac:dyDescent="0.3">
      <c r="A41" s="53" t="str">
        <f>INDEX(SharedParams[Name],ROW(B40))</f>
        <v>DPP_CIR_Prefabrication</v>
      </c>
      <c r="B41" s="53" t="s">
        <v>427</v>
      </c>
      <c r="C41" s="53" t="str">
        <f>IFERROR(
   IF(
      VLOOKUP(
         INDEX('Shared parameters'!$A$2:$A$200,
                MATCH($A41,'Shared parameters'!$B$2:$B$200,0)
         ),
         'Parameter Categories'!$B$2:$G$200,
         6,
         FALSE
      )="x",
      "No",
      IF(
         VLOOKUP(
            INDEX('Shared parameters'!$A$2:$A$200,
                   MATCH($A41,'Shared parameters'!$B$2:$B$200,0)
            ),
            'Parameter Categories'!$B$2:$G$200,
            5,
            FALSE
         )="x",
         "Yes",
         ""
      )
   ),
"")</f>
        <v>No</v>
      </c>
      <c r="D41" s="55" t="str">
        <f>IFERROR(
   VLOOKUP(
      INDEX('Shared parameters'!$A$2:$A$200,
             MATCH($A41,'Shared parameters'!$B$2:$B$200,0)
      ),
      'Data Entry'!$A$2:$B$200,
      2,
      FALSE
   ),
"")</f>
        <v>Yes</v>
      </c>
    </row>
    <row r="42" spans="1:4" x14ac:dyDescent="0.3">
      <c r="A42" s="53" t="str">
        <f>INDEX(SharedParams[Name],ROW(B41))</f>
        <v>DPP_CIR_PrefabricationFactor</v>
      </c>
      <c r="B42" s="53" t="s">
        <v>427</v>
      </c>
      <c r="C42" s="53" t="str">
        <f>IFERROR(
   IF(
      VLOOKUP(
         INDEX('Shared parameters'!$A$2:$A$200,
                MATCH($A42,'Shared parameters'!$B$2:$B$200,0)
         ),
         'Parameter Categories'!$B$2:$G$200,
         6,
         FALSE
      )="x",
      "No",
      IF(
         VLOOKUP(
            INDEX('Shared parameters'!$A$2:$A$200,
                   MATCH($A42,'Shared parameters'!$B$2:$B$200,0)
            ),
            'Parameter Categories'!$B$2:$G$200,
            5,
            FALSE
         )="x",
         "Yes",
         ""
      )
   ),
"")</f>
        <v>No</v>
      </c>
      <c r="D42" s="55">
        <f>IFERROR(
   VLOOKUP(
      INDEX('Shared parameters'!$A$2:$A$200,
             MATCH($A42,'Shared parameters'!$B$2:$B$200,0)
      ),
      'Data Entry'!$A$2:$B$200,
      2,
      FALSE
   ),
"")</f>
        <v>1</v>
      </c>
    </row>
    <row r="43" spans="1:4" x14ac:dyDescent="0.3">
      <c r="A43" s="53" t="str">
        <f>INDEX(SharedParams[Name],ROW(B42))</f>
        <v>DPP_CIR_DeconstructabilityScore</v>
      </c>
      <c r="B43" s="53" t="s">
        <v>427</v>
      </c>
      <c r="C43" s="53" t="str">
        <f>IFERROR(
   IF(
      VLOOKUP(
         INDEX('Shared parameters'!$A$2:$A$200,
                MATCH($A43,'Shared parameters'!$B$2:$B$200,0)
         ),
         'Parameter Categories'!$B$2:$G$200,
         6,
         FALSE
      )="x",
      "No",
      IF(
         VLOOKUP(
            INDEX('Shared parameters'!$A$2:$A$200,
                   MATCH($A43,'Shared parameters'!$B$2:$B$200,0)
            ),
            'Parameter Categories'!$B$2:$G$200,
            5,
            FALSE
         )="x",
         "Yes",
         ""
      )
   ),
"")</f>
        <v>No</v>
      </c>
      <c r="D43" s="55">
        <f>IFERROR(
   VLOOKUP(
      INDEX('Shared parameters'!$A$2:$A$200,
             MATCH($A43,'Shared parameters'!$B$2:$B$200,0)
      ),
      'Data Entry'!$A$2:$B$200,
      2,
      FALSE
   ),
"")</f>
        <v>0.5</v>
      </c>
    </row>
    <row r="44" spans="1:4" x14ac:dyDescent="0.3">
      <c r="A44" s="53" t="str">
        <f>INDEX(SharedParams[Name],ROW(B43))</f>
        <v>DPP_CIR_RecyclingPotential</v>
      </c>
      <c r="B44" s="53" t="s">
        <v>427</v>
      </c>
      <c r="C44" s="53" t="str">
        <f>IFERROR(
   IF(
      VLOOKUP(
         INDEX('Shared parameters'!$A$2:$A$200,
                MATCH($A44,'Shared parameters'!$B$2:$B$200,0)
         ),
         'Parameter Categories'!$B$2:$G$200,
         6,
         FALSE
      )="x",
      "No",
      IF(
         VLOOKUP(
            INDEX('Shared parameters'!$A$2:$A$200,
                   MATCH($A44,'Shared parameters'!$B$2:$B$200,0)
            ),
            'Parameter Categories'!$B$2:$G$200,
            5,
            FALSE
         )="x",
         "Yes",
         ""
      )
   ),
"")</f>
        <v>No</v>
      </c>
      <c r="D44" s="55">
        <f>IFERROR(
   VLOOKUP(
      INDEX('Shared parameters'!$A$2:$A$200,
             MATCH($A44,'Shared parameters'!$B$2:$B$200,0)
      ),
      'Data Entry'!$A$2:$B$200,
      2,
      FALSE
   ),
"")</f>
        <v>100</v>
      </c>
    </row>
    <row r="45" spans="1:4" x14ac:dyDescent="0.3">
      <c r="A45" s="53" t="str">
        <f>INDEX(SharedParams[Name],ROW(B44))</f>
        <v>DPP_CIR_Reusability</v>
      </c>
      <c r="B45" s="53" t="s">
        <v>427</v>
      </c>
      <c r="C45" s="53" t="str">
        <f>IFERROR(
   IF(
      VLOOKUP(
         INDEX('Shared parameters'!$A$2:$A$200,
                MATCH($A45,'Shared parameters'!$B$2:$B$200,0)
         ),
         'Parameter Categories'!$B$2:$G$200,
         6,
         FALSE
      )="x",
      "No",
      IF(
         VLOOKUP(
            INDEX('Shared parameters'!$A$2:$A$200,
                   MATCH($A45,'Shared parameters'!$B$2:$B$200,0)
            ),
            'Parameter Categories'!$B$2:$G$200,
            5,
            FALSE
         )="x",
         "Yes",
         ""
      )
   ),
"")</f>
        <v>No</v>
      </c>
      <c r="D45" s="55" t="str">
        <f>IFERROR(
   VLOOKUP(
      INDEX('Shared parameters'!$A$2:$A$200,
             MATCH($A45,'Shared parameters'!$B$2:$B$200,0)
      ),
      'Data Entry'!$A$2:$B$200,
      2,
      FALSE
   ),
"")</f>
        <v>No</v>
      </c>
    </row>
    <row r="46" spans="1:4" x14ac:dyDescent="0.3">
      <c r="A46" s="53" t="str">
        <f>INDEX(SharedParams[Name],ROW(B45))</f>
        <v>DPP_CIR_ReusabilityPotential</v>
      </c>
      <c r="B46" s="53" t="s">
        <v>427</v>
      </c>
      <c r="C46" s="53" t="str">
        <f>IFERROR(
   IF(
      VLOOKUP(
         INDEX('Shared parameters'!$A$2:$A$200,
                MATCH($A46,'Shared parameters'!$B$2:$B$200,0)
         ),
         'Parameter Categories'!$B$2:$G$200,
         6,
         FALSE
      )="x",
      "No",
      IF(
         VLOOKUP(
            INDEX('Shared parameters'!$A$2:$A$200,
                   MATCH($A46,'Shared parameters'!$B$2:$B$200,0)
            ),
            'Parameter Categories'!$B$2:$G$200,
            5,
            FALSE
         )="x",
         "Yes",
         ""
      )
   ),
"")</f>
        <v>No</v>
      </c>
      <c r="D46" s="55">
        <f>IFERROR(
   VLOOKUP(
      INDEX('Shared parameters'!$A$2:$A$200,
             MATCH($A46,'Shared parameters'!$B$2:$B$200,0)
      ),
      'Data Entry'!$A$2:$B$200,
      2,
      FALSE
   ),
"")</f>
        <v>0</v>
      </c>
    </row>
    <row r="47" spans="1:4" x14ac:dyDescent="0.3">
      <c r="A47" s="53" t="str">
        <f>INDEX(SharedParams[Name],ROW(B46))</f>
        <v>DPP_CIR_RecoveryScore</v>
      </c>
      <c r="B47" s="53" t="s">
        <v>427</v>
      </c>
      <c r="C47" s="53" t="str">
        <f>IFERROR(
   IF(
      VLOOKUP(
         INDEX('Shared parameters'!$A$2:$A$200,
                MATCH($A47,'Shared parameters'!$B$2:$B$200,0)
         ),
         'Parameter Categories'!$B$2:$G$200,
         6,
         FALSE
      )="x",
      "No",
      IF(
         VLOOKUP(
            INDEX('Shared parameters'!$A$2:$A$200,
                   MATCH($A47,'Shared parameters'!$B$2:$B$200,0)
            ),
            'Parameter Categories'!$B$2:$G$200,
            5,
            FALSE
         )="x",
         "Yes",
         ""
      )
   ),
"")</f>
        <v>No</v>
      </c>
      <c r="D47" s="55">
        <f>IFERROR(
   VLOOKUP(
      INDEX('Shared parameters'!$A$2:$A$200,
             MATCH($A47,'Shared parameters'!$B$2:$B$200,0)
      ),
      'Data Entry'!$A$2:$B$200,
      2,
      FALSE
   ),
"")</f>
        <v>0.5</v>
      </c>
    </row>
    <row r="48" spans="1:4" x14ac:dyDescent="0.3">
      <c r="A48" s="53" t="str">
        <f>INDEX(SharedParams[Name],ROW(B47))</f>
        <v>DPP_CIR_Disassemblypotential</v>
      </c>
      <c r="B48" s="53" t="s">
        <v>427</v>
      </c>
      <c r="C48" s="53" t="str">
        <f>IFERROR(
   IF(
      VLOOKUP(
         INDEX('Shared parameters'!$A$2:$A$200,
                MATCH($A48,'Shared parameters'!$B$2:$B$200,0)
         ),
         'Parameter Categories'!$B$2:$G$200,
         6,
         FALSE
      )="x",
      "No",
      IF(
         VLOOKUP(
            INDEX('Shared parameters'!$A$2:$A$200,
                   MATCH($A48,'Shared parameters'!$B$2:$B$200,0)
            ),
            'Parameter Categories'!$B$2:$G$200,
            5,
            FALSE
         )="x",
         "Yes",
         ""
      )
   ),
"")</f>
        <v>No</v>
      </c>
      <c r="D48" s="55">
        <f>IFERROR(
   VLOOKUP(
      INDEX('Shared parameters'!$A$2:$A$200,
             MATCH($A48,'Shared parameters'!$B$2:$B$200,0)
      ),
      'Data Entry'!$A$2:$B$200,
      2,
      FALSE
   ),
"")</f>
        <v>3</v>
      </c>
    </row>
    <row r="49" spans="1:4" ht="43.2" x14ac:dyDescent="0.3">
      <c r="A49" s="53" t="str">
        <f>INDEX(SharedParams[Name],ROW(B48))</f>
        <v>DPP_CIR_DisassemblyInstructions</v>
      </c>
      <c r="B49" s="53" t="s">
        <v>427</v>
      </c>
      <c r="C49" s="53" t="str">
        <f>IFERROR(
   IF(
      VLOOKUP(
         INDEX('Shared parameters'!$A$2:$A$200,
                MATCH($A49,'Shared parameters'!$B$2:$B$200,0)
         ),
         'Parameter Categories'!$B$2:$G$200,
         6,
         FALSE
      )="x",
      "No",
      IF(
         VLOOKUP(
            INDEX('Shared parameters'!$A$2:$A$200,
                   MATCH($A49,'Shared parameters'!$B$2:$B$200,0)
            ),
            'Parameter Categories'!$B$2:$G$200,
            5,
            FALSE
         )="x",
         "Yes",
         ""
      )
   ),
"")</f>
        <v>No</v>
      </c>
      <c r="D49" s="55" t="str">
        <f>IFERROR(
   VLOOKUP(
      INDEX('Shared parameters'!$A$2:$A$200,
             MATCH($A49,'Shared parameters'!$B$2:$B$200,0)
      ),
      'Data Entry'!$A$2:$B$200,
      2,
      FALSE
   ),
"")</f>
        <v>Mechanical dismantling: Crushing and Sieving for Recycling</v>
      </c>
    </row>
    <row r="50" spans="1:4" ht="72" x14ac:dyDescent="0.3">
      <c r="A50" s="53" t="str">
        <f>INDEX(SharedParams[Name],ROW(B49))</f>
        <v>DPP_CIR_SecondaryUse</v>
      </c>
      <c r="B50" s="53" t="s">
        <v>427</v>
      </c>
      <c r="C50" s="53" t="str">
        <f>IFERROR(
   IF(
      VLOOKUP(
         INDEX('Shared parameters'!$A$2:$A$200,
                MATCH($A50,'Shared parameters'!$B$2:$B$200,0)
         ),
         'Parameter Categories'!$B$2:$G$200,
         6,
         FALSE
      )="x",
      "No",
      IF(
         VLOOKUP(
            INDEX('Shared parameters'!$A$2:$A$200,
                   MATCH($A50,'Shared parameters'!$B$2:$B$200,0)
            ),
            'Parameter Categories'!$B$2:$G$200,
            5,
            FALSE
         )="x",
         "Yes",
         ""
      )
   ),
"")</f>
        <v>No</v>
      </c>
      <c r="D50" s="55" t="str">
        <f>IFERROR(
   VLOOKUP(
      INDEX('Shared parameters'!$A$2:$A$200,
             MATCH($A50,'Shared parameters'!$B$2:$B$200,0)
      ),
      'Data Entry'!$A$2:$B$200,
      2,
      FALSE
   ),
"")</f>
        <v>Reused on the construction site for applications requiring increased density, such as floor material</v>
      </c>
    </row>
    <row r="51" spans="1:4" ht="43.2" x14ac:dyDescent="0.3">
      <c r="A51" s="53" t="str">
        <f>INDEX(SharedParams[Name],ROW(B50))</f>
        <v>DPP_CIR_EndofLifeRecomendations</v>
      </c>
      <c r="B51" s="53" t="s">
        <v>427</v>
      </c>
      <c r="C51" s="53" t="str">
        <f>IFERROR(
   IF(
      VLOOKUP(
         INDEX('Shared parameters'!$A$2:$A$200,
                MATCH($A51,'Shared parameters'!$B$2:$B$200,0)
         ),
         'Parameter Categories'!$B$2:$G$200,
         6,
         FALSE
      )="x",
      "No",
      IF(
         VLOOKUP(
            INDEX('Shared parameters'!$A$2:$A$200,
                   MATCH($A51,'Shared parameters'!$B$2:$B$200,0)
            ),
            'Parameter Categories'!$B$2:$G$200,
            5,
            FALSE
         )="x",
         "Yes",
         ""
      )
   ),
"")</f>
        <v>No</v>
      </c>
      <c r="D51" s="55" t="str">
        <f>IFERROR(
   VLOOKUP(
      INDEX('Shared parameters'!$A$2:$A$200,
             MATCH($A51,'Shared parameters'!$B$2:$B$200,0)
      ),
      'Data Entry'!$A$2:$B$200,
      2,
      FALSE
   ),
"")</f>
        <v>Composting and soil improvement; Disposal via incineration</v>
      </c>
    </row>
    <row r="52" spans="1:4" x14ac:dyDescent="0.3">
      <c r="A52" s="53" t="str">
        <f>INDEX(SharedParams[Name],ROW(B51))</f>
        <v>DPP_END_EPD</v>
      </c>
      <c r="B52" s="53" t="s">
        <v>483</v>
      </c>
      <c r="C52" s="53" t="str">
        <f>IFERROR(
   IF(
      VLOOKUP(
         INDEX('Shared parameters'!$A$2:$A$200,
                MATCH($A52,'Shared parameters'!$B$2:$B$200,0)
         ),
         'Parameter Categories'!$B$2:$G$200,
         6,
         FALSE
      )="x",
      "No",
      IF(
         VLOOKUP(
            INDEX('Shared parameters'!$A$2:$A$200,
                   MATCH($A52,'Shared parameters'!$B$2:$B$200,0)
            ),
            'Parameter Categories'!$B$2:$G$200,
            5,
            FALSE
         )="x",
         "Yes",
         ""
      )
   ),
"")</f>
        <v>No</v>
      </c>
      <c r="D52" s="55" t="str">
        <f>IFERROR(
   VLOOKUP(
      INDEX('Shared parameters'!$A$2:$A$200,
             MATCH($A52,'Shared parameters'!$B$2:$B$200,0)
      ),
      'Data Entry'!$A$2:$B$200,
      2,
      FALSE
   ),
"")</f>
        <v>Yes</v>
      </c>
    </row>
    <row r="53" spans="1:4" ht="57.6" x14ac:dyDescent="0.3">
      <c r="A53" s="53" t="str">
        <f>INDEX(SharedParams[Name],ROW(B52))</f>
        <v>DPP_END_EPD_URL</v>
      </c>
      <c r="B53" s="53" t="s">
        <v>483</v>
      </c>
      <c r="C53" s="53" t="str">
        <f>IFERROR(
   IF(
      VLOOKUP(
         INDEX('Shared parameters'!$A$2:$A$200,
                MATCH($A53,'Shared parameters'!$B$2:$B$200,0)
         ),
         'Parameter Categories'!$B$2:$G$200,
         6,
         FALSE
      )="x",
      "No",
      IF(
         VLOOKUP(
            INDEX('Shared parameters'!$A$2:$A$200,
                   MATCH($A53,'Shared parameters'!$B$2:$B$200,0)
            ),
            'Parameter Categories'!$B$2:$G$200,
            5,
            FALSE
         )="x",
         "Yes",
         ""
      )
   ),
"")</f>
        <v>No</v>
      </c>
      <c r="D53" s="55" t="str">
        <f>IFERROR(
   VLOOKUP(
      INDEX('Shared parameters'!$A$2:$A$200,
             MATCH($A53,'Shared parameters'!$B$2:$B$200,0)
      ),
      'Data Entry'!$A$2:$B$200,
      2,
      FALSE
   ),
"")</f>
        <v>https://www.bau-epd.at/epd/data/schoenthaler-bausteinwerk-gmbh-hanfsteine-ecoinvent-2025</v>
      </c>
    </row>
    <row r="54" spans="1:4" x14ac:dyDescent="0.3">
      <c r="A54" s="53" t="str">
        <f>INDEX(SharedParams[Name],ROW(B53))</f>
        <v>DPP_END_GWP_kgCO₂eq</v>
      </c>
      <c r="B54" s="53" t="s">
        <v>483</v>
      </c>
      <c r="C54" s="53" t="str">
        <f>IFERROR(
   IF(
      VLOOKUP(
         INDEX('Shared parameters'!$A$2:$A$200,
                MATCH($A54,'Shared parameters'!$B$2:$B$200,0)
         ),
         'Parameter Categories'!$B$2:$G$200,
         6,
         FALSE
      )="x",
      "No",
      IF(
         VLOOKUP(
            INDEX('Shared parameters'!$A$2:$A$200,
                   MATCH($A54,'Shared parameters'!$B$2:$B$200,0)
            ),
            'Parameter Categories'!$B$2:$G$200,
            5,
            FALSE
         )="x",
         "Yes",
         ""
      )
   ),
"")</f>
        <v>No</v>
      </c>
      <c r="D54" s="55">
        <f>IFERROR(
   VLOOKUP(
      INDEX('Shared parameters'!$A$2:$A$200,
             MATCH($A54,'Shared parameters'!$B$2:$B$200,0)
      ),
      'Data Entry'!$A$2:$B$200,
      2,
      FALSE
   ),
"")</f>
        <v>1.3392000000000002</v>
      </c>
    </row>
    <row r="55" spans="1:4" x14ac:dyDescent="0.3">
      <c r="A55" s="53" t="str">
        <f>INDEX(SharedParams[Name],ROW(B54))</f>
        <v>DPP_END_PEI_MJKg</v>
      </c>
      <c r="B55" s="53" t="s">
        <v>483</v>
      </c>
      <c r="C55" s="53" t="str">
        <f>IFERROR(
   IF(
      VLOOKUP(
         INDEX('Shared parameters'!$A$2:$A$200,
                MATCH($A55,'Shared parameters'!$B$2:$B$200,0)
         ),
         'Parameter Categories'!$B$2:$G$200,
         6,
         FALSE
      )="x",
      "No",
      IF(
         VLOOKUP(
            INDEX('Shared parameters'!$A$2:$A$200,
                   MATCH($A55,'Shared parameters'!$B$2:$B$200,0)
            ),
            'Parameter Categories'!$B$2:$G$200,
            5,
            FALSE
         )="x",
         "Yes",
         ""
      )
   ),
"")</f>
        <v>No</v>
      </c>
      <c r="D55" s="55">
        <f>IFERROR(
   VLOOKUP(
      INDEX('Shared parameters'!$A$2:$A$200,
             MATCH($A55,'Shared parameters'!$B$2:$B$200,0)
      ),
      'Data Entry'!$A$2:$B$200,
      2,
      FALSE
   ),
"")</f>
        <v>0</v>
      </c>
    </row>
    <row r="56" spans="1:4" x14ac:dyDescent="0.3">
      <c r="A56" s="53" t="str">
        <f>INDEX(SharedParams[Name],ROW(B55))</f>
        <v>DPP_END_PERT_MJKg</v>
      </c>
      <c r="B56" s="53" t="s">
        <v>483</v>
      </c>
      <c r="C56" s="53" t="str">
        <f>IFERROR(
   IF(
      VLOOKUP(
         INDEX('Shared parameters'!$A$2:$A$200,
                MATCH($A56,'Shared parameters'!$B$2:$B$200,0)
         ),
         'Parameter Categories'!$B$2:$G$200,
         6,
         FALSE
      )="x",
      "No",
      IF(
         VLOOKUP(
            INDEX('Shared parameters'!$A$2:$A$200,
                   MATCH($A56,'Shared parameters'!$B$2:$B$200,0)
            ),
            'Parameter Categories'!$B$2:$G$200,
            5,
            FALSE
         )="x",
         "Yes",
         ""
      )
   ),
"")</f>
        <v>No</v>
      </c>
      <c r="D56" s="55">
        <f>IFERROR(
   VLOOKUP(
      INDEX('Shared parameters'!$A$2:$A$200,
             MATCH($A56,'Shared parameters'!$B$2:$B$200,0)
      ),
      'Data Entry'!$A$2:$B$200,
      2,
      FALSE
   ),
"")</f>
        <v>18.408720000000002</v>
      </c>
    </row>
    <row r="57" spans="1:4" x14ac:dyDescent="0.3">
      <c r="A57" s="53" t="str">
        <f>INDEX(SharedParams[Name],ROW(B56))</f>
        <v>DPP_END_PENRT_MJKg</v>
      </c>
      <c r="B57" s="53" t="s">
        <v>483</v>
      </c>
      <c r="C57" s="53" t="str">
        <f>IFERROR(
   IF(
      VLOOKUP(
         INDEX('Shared parameters'!$A$2:$A$200,
                MATCH($A57,'Shared parameters'!$B$2:$B$200,0)
         ),
         'Parameter Categories'!$B$2:$G$200,
         6,
         FALSE
      )="x",
      "No",
      IF(
         VLOOKUP(
            INDEX('Shared parameters'!$A$2:$A$200,
                   MATCH($A57,'Shared parameters'!$B$2:$B$200,0)
            ),
            'Parameter Categories'!$B$2:$G$200,
            5,
            FALSE
         )="x",
         "Yes",
         ""
      )
   ),
"")</f>
        <v>No</v>
      </c>
      <c r="D57" s="55">
        <f>IFERROR(
   VLOOKUP(
      INDEX('Shared parameters'!$A$2:$A$200,
             MATCH($A57,'Shared parameters'!$B$2:$B$200,0)
      ),
      'Data Entry'!$A$2:$B$200,
      2,
      FALSE
   ),
"")</f>
        <v>17.026880000000002</v>
      </c>
    </row>
    <row r="58" spans="1:4" x14ac:dyDescent="0.3">
      <c r="A58" s="53" t="str">
        <f>INDEX(SharedParams[Name],ROW(B57))</f>
        <v>DPP_END_AP_kgSO₂eq</v>
      </c>
      <c r="B58" s="53" t="s">
        <v>483</v>
      </c>
      <c r="C58" s="53" t="str">
        <f>IFERROR(
   IF(
      VLOOKUP(
         INDEX('Shared parameters'!$A$2:$A$200,
                MATCH($A58,'Shared parameters'!$B$2:$B$200,0)
         ),
         'Parameter Categories'!$B$2:$G$200,
         6,
         FALSE
      )="x",
      "No",
      IF(
         VLOOKUP(
            INDEX('Shared parameters'!$A$2:$A$200,
                   MATCH($A58,'Shared parameters'!$B$2:$B$200,0)
            ),
            'Parameter Categories'!$B$2:$G$200,
            5,
            FALSE
         )="x",
         "Yes",
         ""
      )
   ),
"")</f>
        <v>No</v>
      </c>
      <c r="D58" s="55">
        <f>IFERROR(
   VLOOKUP(
      INDEX('Shared parameters'!$A$2:$A$200,
             MATCH($A58,'Shared parameters'!$B$2:$B$200,0)
      ),
      'Data Entry'!$A$2:$B$200,
      2,
      FALSE
   ),
"")</f>
        <v>2.4935000000000002E-4</v>
      </c>
    </row>
    <row r="59" spans="1:4" x14ac:dyDescent="0.3">
      <c r="A59" s="53" t="str">
        <f>INDEX(SharedParams[Name],ROW(B58))</f>
        <v>DPP_END_EmbodiedCarbon_kgCO₂eq</v>
      </c>
      <c r="B59" s="53" t="s">
        <v>483</v>
      </c>
      <c r="C59" s="53" t="str">
        <f>IFERROR(
   IF(
      VLOOKUP(
         INDEX('Shared parameters'!$A$2:$A$200,
                MATCH($A59,'Shared parameters'!$B$2:$B$200,0)
         ),
         'Parameter Categories'!$B$2:$G$200,
         6,
         FALSE
      )="x",
      "No",
      IF(
         VLOOKUP(
            INDEX('Shared parameters'!$A$2:$A$200,
                   MATCH($A59,'Shared parameters'!$B$2:$B$200,0)
            ),
            'Parameter Categories'!$B$2:$G$200,
            5,
            FALSE
         )="x",
         "Yes",
         ""
      )
   ),
"")</f>
        <v>No</v>
      </c>
      <c r="D59" s="55">
        <f>IFERROR(
   VLOOKUP(
      INDEX('Shared parameters'!$A$2:$A$200,
             MATCH($A59,'Shared parameters'!$B$2:$B$200,0)
      ),
      'Data Entry'!$A$2:$B$200,
      2,
      FALSE
   ),
"")</f>
        <v>-1.744</v>
      </c>
    </row>
    <row r="60" spans="1:4" x14ac:dyDescent="0.3">
      <c r="A60" s="53" t="str">
        <f>INDEX(SharedParams[Name],ROW(B59))</f>
        <v>DPP_END_BiogenicCarbon_kgCO₂eq</v>
      </c>
      <c r="B60" s="53" t="s">
        <v>483</v>
      </c>
      <c r="C60" s="53" t="str">
        <f>IFERROR(
   IF(
      VLOOKUP(
         INDEX('Shared parameters'!$A$2:$A$200,
                MATCH($A60,'Shared parameters'!$B$2:$B$200,0)
         ),
         'Parameter Categories'!$B$2:$G$200,
         6,
         FALSE
      )="x",
      "No",
      IF(
         VLOOKUP(
            INDEX('Shared parameters'!$A$2:$A$200,
                   MATCH($A60,'Shared parameters'!$B$2:$B$200,0)
            ),
            'Parameter Categories'!$B$2:$G$200,
            5,
            FALSE
         )="x",
         "Yes",
         ""
      )
   ),
"")</f>
        <v>No</v>
      </c>
      <c r="D60" s="55">
        <f>IFERROR(
   VLOOKUP(
      INDEX('Shared parameters'!$A$2:$A$200,
             MATCH($A60,'Shared parameters'!$B$2:$B$200,0)
      ),
      'Data Entry'!$A$2:$B$200,
      2,
      FALSE
   ),
"")</f>
        <v>0.44880000000000003</v>
      </c>
    </row>
    <row r="61" spans="1:4" x14ac:dyDescent="0.3">
      <c r="A61" s="53" t="str">
        <f>INDEX(SharedParams[Name],ROW(B60))</f>
        <v>DPP_END_EndoflifeEmissions_kgCO₂eq</v>
      </c>
      <c r="B61" s="53" t="s">
        <v>483</v>
      </c>
      <c r="C61" s="53" t="str">
        <f>IFERROR(
   IF(
      VLOOKUP(
         INDEX('Shared parameters'!$A$2:$A$200,
                MATCH($A61,'Shared parameters'!$B$2:$B$200,0)
         ),
         'Parameter Categories'!$B$2:$G$200,
         6,
         FALSE
      )="x",
      "No",
      IF(
         VLOOKUP(
            INDEX('Shared parameters'!$A$2:$A$200,
                   MATCH($A61,'Shared parameters'!$B$2:$B$200,0)
            ),
            'Parameter Categories'!$B$2:$G$200,
            5,
            FALSE
         )="x",
         "Yes",
         ""
      )
   ),
"")</f>
        <v>No</v>
      </c>
      <c r="D61" s="55">
        <f>IFERROR(
   VLOOKUP(
      INDEX('Shared parameters'!$A$2:$A$200,
             MATCH($A61,'Shared parameters'!$B$2:$B$200,0)
      ),
      'Data Entry'!$A$2:$B$200,
      2,
      FALSE
   ),
"")</f>
        <v>1.7772000000000001</v>
      </c>
    </row>
    <row r="62" spans="1:4" x14ac:dyDescent="0.3">
      <c r="A62" s="53" t="str">
        <f>INDEX(SharedParams[Name],ROW(B61))</f>
        <v>DPP_CIR_CircularityIndex</v>
      </c>
      <c r="B62" s="53" t="s">
        <v>483</v>
      </c>
      <c r="C62" s="53" t="str">
        <f>IFERROR(
   IF(
      VLOOKUP(
         INDEX('Shared parameters'!$A$2:$A$200,
                MATCH($A62,'Shared parameters'!$B$2:$B$200,0)
         ),
         'Parameter Categories'!$B$2:$G$200,
         6,
         FALSE
      )="x",
      "No",
      IF(
         VLOOKUP(
            INDEX('Shared parameters'!$A$2:$A$200,
                   MATCH($A62,'Shared parameters'!$B$2:$B$200,0)
            ),
            'Parameter Categories'!$B$2:$G$200,
            5,
            FALSE
         )="x",
         "Yes",
         ""
      )
   ),
"")</f>
        <v>No</v>
      </c>
      <c r="D62" s="55">
        <f>IFERROR(
   VLOOKUP(
      INDEX('Shared parameters'!$A$2:$A$200,
             MATCH($A62,'Shared parameters'!$B$2:$B$200,0)
      ),
      'Data Entry'!$A$2:$B$200,
      2,
      FALSE
   ),
"")</f>
        <v>70</v>
      </c>
    </row>
    <row r="63" spans="1:4" x14ac:dyDescent="0.3">
      <c r="A63" s="53" t="str">
        <f>INDEX(SharedParams[Name],ROW(B62))</f>
        <v>DPP_END_Ei</v>
      </c>
      <c r="B63" s="53" t="s">
        <v>483</v>
      </c>
      <c r="C63" s="53" t="str">
        <f>IFERROR(
   IF(
      VLOOKUP(
         INDEX('Shared parameters'!$A$2:$A$200,
                MATCH($A63,'Shared parameters'!$B$2:$B$200,0)
         ),
         'Parameter Categories'!$B$2:$G$200,
         6,
         FALSE
      )="x",
      "No",
      IF(
         VLOOKUP(
            INDEX('Shared parameters'!$A$2:$A$200,
                   MATCH($A63,'Shared parameters'!$B$2:$B$200,0)
            ),
            'Parameter Categories'!$B$2:$G$200,
            5,
            FALSE
         )="x",
         "Yes",
         ""
      )
   ),
"")</f>
        <v>No</v>
      </c>
      <c r="D63" s="55">
        <f>IFERROR(
   VLOOKUP(
      INDEX('Shared parameters'!$A$2:$A$200,
             MATCH($A63,'Shared parameters'!$B$2:$B$200,0)
      ),
      'Data Entry'!$A$2:$B$200,
      2,
      FALSE
   ),
"")</f>
        <v>0.99199999999999999</v>
      </c>
    </row>
    <row r="64" spans="1:4" x14ac:dyDescent="0.3">
      <c r="A64" s="53" t="str">
        <f>INDEX(SharedParams[Name],ROW(B63))</f>
        <v>DPP_END_w</v>
      </c>
      <c r="B64" s="53" t="s">
        <v>483</v>
      </c>
      <c r="C64" s="53" t="str">
        <f>IFERROR(
   IF(
      VLOOKUP(
         INDEX('Shared parameters'!$A$2:$A$200,
                MATCH($A64,'Shared parameters'!$B$2:$B$200,0)
         ),
         'Parameter Categories'!$B$2:$G$200,
         6,
         FALSE
      )="x",
      "No",
      IF(
         VLOOKUP(
            INDEX('Shared parameters'!$A$2:$A$200,
                   MATCH($A64,'Shared parameters'!$B$2:$B$200,0)
            ),
            'Parameter Categories'!$B$2:$G$200,
            5,
            FALSE
         )="x",
         "Yes",
         ""
      )
   ),
"")</f>
        <v>No</v>
      </c>
      <c r="D64" s="55">
        <f>IFERROR(
   VLOOKUP(
      INDEX('Shared parameters'!$A$2:$A$200,
             MATCH($A64,'Shared parameters'!$B$2:$B$200,0)
      ),
      'Data Entry'!$A$2:$B$200,
      2,
      FALSE
   ),
"")</f>
        <v>0.75</v>
      </c>
    </row>
    <row r="65" spans="1:4" x14ac:dyDescent="0.3">
      <c r="A65" s="53" t="str">
        <f>INDEX(SharedParams[Name],ROW(B64))</f>
        <v>DPP_END_EnvironmentalScore</v>
      </c>
      <c r="B65" s="53" t="s">
        <v>483</v>
      </c>
      <c r="C65" s="53" t="str">
        <f>IFERROR(
   IF(
      VLOOKUP(
         INDEX('Shared parameters'!$A$2:$A$200,
                MATCH($A65,'Shared parameters'!$B$2:$B$200,0)
         ),
         'Parameter Categories'!$B$2:$G$200,
         6,
         FALSE
      )="x",
      "No",
      IF(
         VLOOKUP(
            INDEX('Shared parameters'!$A$2:$A$200,
                   MATCH($A65,'Shared parameters'!$B$2:$B$200,0)
            ),
            'Parameter Categories'!$B$2:$G$200,
            5,
            FALSE
         )="x",
         "Yes",
         ""
      )
   ),
"")</f>
        <v>No</v>
      </c>
      <c r="D65" s="55">
        <f>IFERROR(
   VLOOKUP(
      INDEX('Shared parameters'!$A$2:$A$200,
             MATCH($A65,'Shared parameters'!$B$2:$B$200,0)
      ),
      'Data Entry'!$A$2:$B$200,
      2,
      FALSE
   ),
"")</f>
        <v>0.74399999999999999</v>
      </c>
    </row>
    <row r="66" spans="1:4" x14ac:dyDescent="0.3">
      <c r="A66" s="53" t="str">
        <f>INDEX(SharedParams[Name],ROW(B65))</f>
        <v>DPP_TMP_ServiceLife_years</v>
      </c>
      <c r="B66" s="53" t="s">
        <v>487</v>
      </c>
      <c r="C66" s="53" t="str">
        <f>IFERROR(
   IF(
      VLOOKUP(
         INDEX('Shared parameters'!$A$2:$A$200,
                MATCH($A66,'Shared parameters'!$B$2:$B$200,0)
         ),
         'Parameter Categories'!$B$2:$G$200,
         6,
         FALSE
      )="x",
      "No",
      IF(
         VLOOKUP(
            INDEX('Shared parameters'!$A$2:$A$200,
                   MATCH($A66,'Shared parameters'!$B$2:$B$200,0)
            ),
            'Parameter Categories'!$B$2:$G$200,
            5,
            FALSE
         )="x",
         "Yes",
         ""
      )
   ),
"")</f>
        <v>No</v>
      </c>
      <c r="D66" s="55">
        <f>IFERROR(
   VLOOKUP(
      INDEX('Shared parameters'!$A$2:$A$200,
             MATCH($A66,'Shared parameters'!$B$2:$B$200,0)
      ),
      'Data Entry'!$A$2:$B$200,
      2,
      FALSE
   ),
"")</f>
        <v>100</v>
      </c>
    </row>
    <row r="67" spans="1:4" x14ac:dyDescent="0.3">
      <c r="A67" s="53" t="str">
        <f>INDEX(SharedParams[Name],ROW(B66))</f>
        <v>DPP_TMP_Manteinance</v>
      </c>
      <c r="B67" s="53" t="s">
        <v>487</v>
      </c>
      <c r="C67" s="53" t="str">
        <f>IFERROR(
   IF(
      VLOOKUP(
         INDEX('Shared parameters'!$A$2:$A$200,
                MATCH($A67,'Shared parameters'!$B$2:$B$200,0)
         ),
         'Parameter Categories'!$B$2:$G$200,
         6,
         FALSE
      )="x",
      "No",
      IF(
         VLOOKUP(
            INDEX('Shared parameters'!$A$2:$A$200,
                   MATCH($A67,'Shared parameters'!$B$2:$B$200,0)
            ),
            'Parameter Categories'!$B$2:$G$200,
            5,
            FALSE
         )="x",
         "Yes",
         ""
      )
   ),
"")</f>
        <v>Yes</v>
      </c>
      <c r="D67" s="55">
        <f>IFERROR(
   VLOOKUP(
      INDEX('Shared parameters'!$A$2:$A$200,
             MATCH($A67,'Shared parameters'!$B$2:$B$200,0)
      ),
      'Data Entry'!$A$2:$B$200,
      2,
      FALSE
   ),
"")</f>
        <v>0</v>
      </c>
    </row>
    <row r="68" spans="1:4" x14ac:dyDescent="0.3">
      <c r="A68" s="53" t="str">
        <f>INDEX(SharedParams[Name],ROW(B67))</f>
        <v>DPP_TMP_Soursing_km</v>
      </c>
      <c r="B68" s="53" t="s">
        <v>487</v>
      </c>
      <c r="C68" s="53" t="str">
        <f>IFERROR(
   IF(
      VLOOKUP(
         INDEX('Shared parameters'!$A$2:$A$200,
                MATCH($A68,'Shared parameters'!$B$2:$B$200,0)
         ),
         'Parameter Categories'!$B$2:$G$200,
         6,
         FALSE
      )="x",
      "No",
      IF(
         VLOOKUP(
            INDEX('Shared parameters'!$A$2:$A$200,
                   MATCH($A68,'Shared parameters'!$B$2:$B$200,0)
            ),
            'Parameter Categories'!$B$2:$G$200,
            5,
            FALSE
         )="x",
         "Yes",
         ""
      )
   ),
"")</f>
        <v>No</v>
      </c>
      <c r="D68" s="55" t="str">
        <f>IFERROR(
   VLOOKUP(
      INDEX('Shared parameters'!$A$2:$A$200,
             MATCH($A68,'Shared parameters'!$B$2:$B$200,0)
      ),
      'Data Entry'!$A$2:$B$200,
      2,
      FALSE
   ),
"")</f>
        <v>&lt;500</v>
      </c>
    </row>
    <row r="69" spans="1:4" x14ac:dyDescent="0.3">
      <c r="A69" s="53" t="str">
        <f>INDEX(SharedParams[Name],ROW(B68))</f>
        <v>DPP_TMP_Warranty</v>
      </c>
      <c r="B69" s="53" t="s">
        <v>487</v>
      </c>
      <c r="C69" s="53" t="str">
        <f>IFERROR(
   IF(
      VLOOKUP(
         INDEX('Shared parameters'!$A$2:$A$200,
                MATCH($A69,'Shared parameters'!$B$2:$B$200,0)
         ),
         'Parameter Categories'!$B$2:$G$200,
         6,
         FALSE
      )="x",
      "No",
      IF(
         VLOOKUP(
            INDEX('Shared parameters'!$A$2:$A$200,
                   MATCH($A69,'Shared parameters'!$B$2:$B$200,0)
            ),
            'Parameter Categories'!$B$2:$G$200,
            5,
            FALSE
         )="x",
         "Yes",
         ""
      )
   ),
"")</f>
        <v>No</v>
      </c>
      <c r="D69" s="55" t="str">
        <f>IFERROR(
   VLOOKUP(
      INDEX('Shared parameters'!$A$2:$A$200,
             MATCH($A69,'Shared parameters'!$B$2:$B$200,0)
      ),
      'Data Entry'!$A$2:$B$200,
      2,
      FALSE
   ),
"")</f>
        <v>No</v>
      </c>
    </row>
    <row r="70" spans="1:4" x14ac:dyDescent="0.3">
      <c r="A70" s="53" t="str">
        <f>INDEX(SharedParams[Name],ROW(B69))</f>
        <v>DPP_TMP_Warranty_months</v>
      </c>
      <c r="B70" s="53" t="s">
        <v>487</v>
      </c>
      <c r="C70" s="53" t="str">
        <f>IFERROR(
   IF(
      VLOOKUP(
         INDEX('Shared parameters'!$A$2:$A$200,
                MATCH($A70,'Shared parameters'!$B$2:$B$200,0)
         ),
         'Parameter Categories'!$B$2:$G$200,
         6,
         FALSE
      )="x",
      "No",
      IF(
         VLOOKUP(
            INDEX('Shared parameters'!$A$2:$A$200,
                   MATCH($A70,'Shared parameters'!$B$2:$B$200,0)
            ),
            'Parameter Categories'!$B$2:$G$200,
            5,
            FALSE
         )="x",
         "Yes",
         ""
      )
   ),
"")</f>
        <v>No</v>
      </c>
      <c r="D70" s="55">
        <f>IFERROR(
   VLOOKUP(
      INDEX('Shared parameters'!$A$2:$A$200,
             MATCH($A70,'Shared parameters'!$B$2:$B$200,0)
      ),
      'Data Entry'!$A$2:$B$200,
      2,
      FALSE
   ),
"")</f>
        <v>0</v>
      </c>
    </row>
    <row r="71" spans="1:4" x14ac:dyDescent="0.3">
      <c r="A71" s="53" t="str">
        <f>INDEX(SharedParams[Name],ROW(B70))</f>
        <v>DPP_TMP_UpdateHistory</v>
      </c>
      <c r="B71" s="53" t="s">
        <v>487</v>
      </c>
      <c r="C71" s="53" t="str">
        <f>IFERROR(
   IF(
      VLOOKUP(
         INDEX('Shared parameters'!$A$2:$A$200,
                MATCH($A71,'Shared parameters'!$B$2:$B$200,0)
         ),
         'Parameter Categories'!$B$2:$G$200,
         6,
         FALSE
      )="x",
      "No",
      IF(
         VLOOKUP(
            INDEX('Shared parameters'!$A$2:$A$200,
                   MATCH($A71,'Shared parameters'!$B$2:$B$200,0)
            ),
            'Parameter Categories'!$B$2:$G$200,
            5,
            FALSE
         )="x",
         "Yes",
         ""
      )
   ),
"")</f>
        <v>No</v>
      </c>
      <c r="D71" s="55">
        <f>IFERROR(
   VLOOKUP(
      INDEX('Shared parameters'!$A$2:$A$200,
             MATCH($A71,'Shared parameters'!$B$2:$B$200,0)
      ),
      'Data Entry'!$A$2:$B$200,
      2,
      FALSE
   ),
"")</f>
        <v>0</v>
      </c>
    </row>
    <row r="72" spans="1:4" x14ac:dyDescent="0.3">
      <c r="A72" s="53" t="str">
        <f>INDEX(SharedParams[Name],ROW(B71))</f>
        <v>DPP_SAD_HPD</v>
      </c>
      <c r="B72" s="53" t="s">
        <v>498</v>
      </c>
      <c r="C72" s="53" t="str">
        <f>IFERROR(
   IF(
      VLOOKUP(
         INDEX('Shared parameters'!$A$2:$A$200,
                MATCH($A72,'Shared parameters'!$B$2:$B$200,0)
         ),
         'Parameter Categories'!$B$2:$G$200,
         6,
         FALSE
      )="x",
      "No",
      IF(
         VLOOKUP(
            INDEX('Shared parameters'!$A$2:$A$200,
                   MATCH($A72,'Shared parameters'!$B$2:$B$200,0)
            ),
            'Parameter Categories'!$B$2:$G$200,
            5,
            FALSE
         )="x",
         "Yes",
         ""
      )
   ),
"")</f>
        <v>No</v>
      </c>
      <c r="D72" s="55" t="str">
        <f>IFERROR(
   VLOOKUP(
      INDEX('Shared parameters'!$A$2:$A$200,
             MATCH($A72,'Shared parameters'!$B$2:$B$200,0)
      ),
      'Data Entry'!$A$2:$B$200,
      2,
      FALSE
   ),
"")</f>
        <v>No</v>
      </c>
    </row>
    <row r="73" spans="1:4" x14ac:dyDescent="0.3">
      <c r="A73" s="53" t="str">
        <f>INDEX(SharedParams[Name],ROW(B72))</f>
        <v>DPP_SAD_HPD_URL</v>
      </c>
      <c r="B73" s="53" t="s">
        <v>498</v>
      </c>
      <c r="C73" s="53" t="str">
        <f>IFERROR(
   IF(
      VLOOKUP(
         INDEX('Shared parameters'!$A$2:$A$200,
                MATCH($A73,'Shared parameters'!$B$2:$B$200,0)
         ),
         'Parameter Categories'!$B$2:$G$200,
         6,
         FALSE
      )="x",
      "No",
      IF(
         VLOOKUP(
            INDEX('Shared parameters'!$A$2:$A$200,
                   MATCH($A73,'Shared parameters'!$B$2:$B$200,0)
            ),
            'Parameter Categories'!$B$2:$G$200,
            5,
            FALSE
         )="x",
         "Yes",
         ""
      )
   ),
"")</f>
        <v>No</v>
      </c>
      <c r="D73" s="55" t="str">
        <f>IFERROR(
   VLOOKUP(
      INDEX('Shared parameters'!$A$2:$A$200,
             MATCH($A73,'Shared parameters'!$B$2:$B$200,0)
      ),
      'Data Entry'!$A$2:$B$200,
      2,
      FALSE
   ),
"")</f>
        <v>—</v>
      </c>
    </row>
    <row r="74" spans="1:4" x14ac:dyDescent="0.3">
      <c r="A74" s="53" t="str">
        <f>INDEX(SharedParams[Name],ROW(B73))</f>
        <v>DPP_SAD_HazardClassification</v>
      </c>
      <c r="B74" s="53" t="s">
        <v>498</v>
      </c>
      <c r="C74" s="53" t="str">
        <f>IFERROR(
   IF(
      VLOOKUP(
         INDEX('Shared parameters'!$A$2:$A$200,
                MATCH($A74,'Shared parameters'!$B$2:$B$200,0)
         ),
         'Parameter Categories'!$B$2:$G$200,
         6,
         FALSE
      )="x",
      "No",
      IF(
         VLOOKUP(
            INDEX('Shared parameters'!$A$2:$A$200,
                   MATCH($A74,'Shared parameters'!$B$2:$B$200,0)
            ),
            'Parameter Categories'!$B$2:$G$200,
            5,
            FALSE
         )="x",
         "Yes",
         ""
      )
   ),
"")</f>
        <v>No</v>
      </c>
      <c r="D74" s="55" t="str">
        <f>IFERROR(
   VLOOKUP(
      INDEX('Shared parameters'!$A$2:$A$200,
             MATCH($A74,'Shared parameters'!$B$2:$B$200,0)
      ),
      'Data Entry'!$A$2:$B$200,
      2,
      FALSE
   ),
"")</f>
        <v>Not classified as hazardous</v>
      </c>
    </row>
    <row r="75" spans="1:4" x14ac:dyDescent="0.3">
      <c r="A75" s="53" t="str">
        <f>INDEX(SharedParams[Name],ROW(B74))</f>
        <v>DPP_SAD_PM_CTUh</v>
      </c>
      <c r="B75" s="53" t="s">
        <v>498</v>
      </c>
      <c r="C75" s="53" t="str">
        <f>IFERROR(
   IF(
      VLOOKUP(
         INDEX('Shared parameters'!$A$2:$A$200,
                MATCH($A75,'Shared parameters'!$B$2:$B$200,0)
         ),
         'Parameter Categories'!$B$2:$G$200,
         6,
         FALSE
      )="x",
      "No",
      IF(
         VLOOKUP(
            INDEX('Shared parameters'!$A$2:$A$200,
                   MATCH($A75,'Shared parameters'!$B$2:$B$200,0)
            ),
            'Parameter Categories'!$B$2:$G$200,
            5,
            FALSE
         )="x",
         "Yes",
         ""
      )
   ),
"")</f>
        <v>No</v>
      </c>
      <c r="D75" s="55">
        <f>IFERROR(
   VLOOKUP(
      INDEX('Shared parameters'!$A$2:$A$200,
             MATCH($A75,'Shared parameters'!$B$2:$B$200,0)
      ),
      'Data Entry'!$A$2:$B$200,
      2,
      FALSE
   ),
"")</f>
        <v>2.272E-7</v>
      </c>
    </row>
    <row r="76" spans="1:4" x14ac:dyDescent="0.3">
      <c r="A76" s="53" t="str">
        <f>INDEX(SharedParams[Name],ROW(B75))</f>
        <v>DPP_SAD_IRP_kBqU235eq</v>
      </c>
      <c r="B76" s="53" t="s">
        <v>498</v>
      </c>
      <c r="C76" s="53" t="str">
        <f>IFERROR(
   IF(
      VLOOKUP(
         INDEX('Shared parameters'!$A$2:$A$200,
                MATCH($A76,'Shared parameters'!$B$2:$B$200,0)
         ),
         'Parameter Categories'!$B$2:$G$200,
         6,
         FALSE
      )="x",
      "No",
      IF(
         VLOOKUP(
            INDEX('Shared parameters'!$A$2:$A$200,
                   MATCH($A76,'Shared parameters'!$B$2:$B$200,0)
            ),
            'Parameter Categories'!$B$2:$G$200,
            5,
            FALSE
         )="x",
         "Yes",
         ""
      )
   ),
"")</f>
        <v>No</v>
      </c>
      <c r="D76" s="55">
        <f>IFERROR(
   VLOOKUP(
      INDEX('Shared parameters'!$A$2:$A$200,
             MATCH($A76,'Shared parameters'!$B$2:$B$200,0)
      ),
      'Data Entry'!$A$2:$B$200,
      2,
      FALSE
   ),
"")</f>
        <v>1.6239999999999997E-2</v>
      </c>
    </row>
    <row r="77" spans="1:4" x14ac:dyDescent="0.3">
      <c r="A77" s="53" t="str">
        <f>INDEX(SharedParams[Name],ROW(B76))</f>
        <v xml:space="preserve">DPP_SAD_ETPfw_CTUe </v>
      </c>
      <c r="B77" s="53" t="s">
        <v>498</v>
      </c>
      <c r="C77" s="53" t="str">
        <f>IFERROR(
   IF(
      VLOOKUP(
         INDEX('Shared parameters'!$A$2:$A$200,
                MATCH($A77,'Shared parameters'!$B$2:$B$200,0)
         ),
         'Parameter Categories'!$B$2:$G$200,
         6,
         FALSE
      )="x",
      "No",
      IF(
         VLOOKUP(
            INDEX('Shared parameters'!$A$2:$A$200,
                   MATCH($A77,'Shared parameters'!$B$2:$B$200,0)
            ),
            'Parameter Categories'!$B$2:$G$200,
            5,
            FALSE
         )="x",
         "Yes",
         ""
      )
   ),
"")</f>
        <v>No</v>
      </c>
      <c r="D77" s="55">
        <f>IFERROR(
   VLOOKUP(
      INDEX('Shared parameters'!$A$2:$A$200,
             MATCH($A77,'Shared parameters'!$B$2:$B$200,0)
      ),
      'Data Entry'!$A$2:$B$200,
      2,
      FALSE
   ),
"")</f>
        <v>12.266567999999999</v>
      </c>
    </row>
    <row r="78" spans="1:4" x14ac:dyDescent="0.3">
      <c r="A78" s="53" t="str">
        <f>INDEX(SharedParams[Name],ROW(B77))</f>
        <v>DPP_SAD_HRPc_CTUh</v>
      </c>
      <c r="B78" s="53" t="s">
        <v>498</v>
      </c>
      <c r="C78" s="53" t="str">
        <f>IFERROR(
   IF(
      VLOOKUP(
         INDEX('Shared parameters'!$A$2:$A$200,
                MATCH($A78,'Shared parameters'!$B$2:$B$200,0)
         ),
         'Parameter Categories'!$B$2:$G$200,
         6,
         FALSE
      )="x",
      "No",
      IF(
         VLOOKUP(
            INDEX('Shared parameters'!$A$2:$A$200,
                   MATCH($A78,'Shared parameters'!$B$2:$B$200,0)
            ),
            'Parameter Categories'!$B$2:$G$200,
            5,
            FALSE
         )="x",
         "Yes",
         ""
      )
   ),
"")</f>
        <v>No</v>
      </c>
      <c r="D78" s="55">
        <f>IFERROR(
   VLOOKUP(
      INDEX('Shared parameters'!$A$2:$A$200,
             MATCH($A78,'Shared parameters'!$B$2:$B$200,0)
      ),
      'Data Entry'!$A$2:$B$200,
      2,
      FALSE
   ),
"")</f>
        <v>7.0708479999999998E-10</v>
      </c>
    </row>
    <row r="79" spans="1:4" x14ac:dyDescent="0.3">
      <c r="A79" s="53" t="str">
        <f>INDEX(SharedParams[Name],ROW(B78))</f>
        <v>DPP_SAD_HRPnc_CTUh</v>
      </c>
      <c r="B79" s="53" t="s">
        <v>498</v>
      </c>
      <c r="C79" s="53" t="str">
        <f>IFERROR(
   IF(
      VLOOKUP(
         INDEX('Shared parameters'!$A$2:$A$200,
                MATCH($A79,'Shared parameters'!$B$2:$B$200,0)
         ),
         'Parameter Categories'!$B$2:$G$200,
         6,
         FALSE
      )="x",
      "No",
      IF(
         VLOOKUP(
            INDEX('Shared parameters'!$A$2:$A$200,
                   MATCH($A79,'Shared parameters'!$B$2:$B$200,0)
            ),
            'Parameter Categories'!$B$2:$G$200,
            5,
            FALSE
         )="x",
         "Yes",
         ""
      )
   ),
"")</f>
        <v>No</v>
      </c>
      <c r="D79" s="55">
        <f>IFERROR(
   VLOOKUP(
      INDEX('Shared parameters'!$A$2:$A$200,
             MATCH($A79,'Shared parameters'!$B$2:$B$200,0)
      ),
      'Data Entry'!$A$2:$B$200,
      2,
      FALSE
   ),
"")</f>
        <v>2.3093359999999999E-8</v>
      </c>
    </row>
    <row r="80" spans="1:4" x14ac:dyDescent="0.3">
      <c r="A80" s="53" t="str">
        <f>INDEX(SharedParams[Name],ROW(B79))</f>
        <v>DPP_SAD_SQP</v>
      </c>
      <c r="B80" s="53" t="s">
        <v>498</v>
      </c>
      <c r="C80" s="53" t="str">
        <f>IFERROR(
   IF(
      VLOOKUP(
         INDEX('Shared parameters'!$A$2:$A$200,
                MATCH($A80,'Shared parameters'!$B$2:$B$200,0)
         ),
         'Parameter Categories'!$B$2:$G$200,
         6,
         FALSE
      )="x",
      "No",
      IF(
         VLOOKUP(
            INDEX('Shared parameters'!$A$2:$A$200,
                   MATCH($A80,'Shared parameters'!$B$2:$B$200,0)
            ),
            'Parameter Categories'!$B$2:$G$200,
            5,
            FALSE
         )="x",
         "Yes",
         ""
      )
   ),
"")</f>
        <v>No</v>
      </c>
      <c r="D80" s="55">
        <f>IFERROR(
   VLOOKUP(
      INDEX('Shared parameters'!$A$2:$A$200,
             MATCH($A80,'Shared parameters'!$B$2:$B$200,0)
      ),
      'Data Entry'!$A$2:$B$200,
      2,
      FALSE
   ),
"")</f>
        <v>62.72</v>
      </c>
    </row>
    <row r="81" spans="1:4" x14ac:dyDescent="0.3">
      <c r="A81" s="53" t="str">
        <f>INDEX(SharedParams[Name],ROW(B80))</f>
        <v>DPP_SAD_Toxicity</v>
      </c>
      <c r="B81" s="53" t="s">
        <v>498</v>
      </c>
      <c r="C81" s="53" t="str">
        <f>IFERROR(
   IF(
      VLOOKUP(
         INDEX('Shared parameters'!$A$2:$A$200,
                MATCH($A81,'Shared parameters'!$B$2:$B$200,0)
         ),
         'Parameter Categories'!$B$2:$G$200,
         6,
         FALSE
      )="x",
      "No",
      IF(
         VLOOKUP(
            INDEX('Shared parameters'!$A$2:$A$200,
                   MATCH($A81,'Shared parameters'!$B$2:$B$200,0)
            ),
            'Parameter Categories'!$B$2:$G$200,
            5,
            FALSE
         )="x",
         "Yes",
         ""
      )
   ),
"")</f>
        <v>No</v>
      </c>
      <c r="D81" s="55" t="str">
        <f>IFERROR(
   VLOOKUP(
      INDEX('Shared parameters'!$A$2:$A$200,
             MATCH($A81,'Shared parameters'!$B$2:$B$200,0)
      ),
      'Data Entry'!$A$2:$B$200,
      2,
      FALSE
   ),
"")</f>
        <v>No</v>
      </c>
    </row>
    <row r="82" spans="1:4" ht="28.8" x14ac:dyDescent="0.3">
      <c r="A82" s="53" t="str">
        <f>INDEX(SharedParams[Name],ROW(B81))</f>
        <v>DPP_SAD_Fire_Class</v>
      </c>
      <c r="B82" s="53" t="s">
        <v>467</v>
      </c>
      <c r="C82" s="53" t="str">
        <f>IFERROR(
   IF(
      VLOOKUP(
         INDEX('Shared parameters'!$A$2:$A$200,
                MATCH($A82,'Shared parameters'!$B$2:$B$200,0)
         ),
         'Parameter Categories'!$B$2:$G$200,
         6,
         FALSE
      )="x",
      "No",
      IF(
         VLOOKUP(
            INDEX('Shared parameters'!$A$2:$A$200,
                   MATCH($A82,'Shared parameters'!$B$2:$B$200,0)
            ),
            'Parameter Categories'!$B$2:$G$200,
            5,
            FALSE
         )="x",
         "Yes",
         ""
      )
   ),
"")</f>
        <v>No</v>
      </c>
      <c r="D82" s="55" t="str">
        <f>IFERROR(
   VLOOKUP(
      INDEX('Shared parameters'!$A$2:$A$200,
             MATCH($A82,'Shared parameters'!$B$2:$B$200,0)
      ),
      'Data Entry'!$A$2:$B$200,
      2,
      FALSE
   ),
"")</f>
        <v>B (Very limited contribution to fire)</v>
      </c>
    </row>
    <row r="83" spans="1:4" x14ac:dyDescent="0.3">
      <c r="A83" s="53" t="str">
        <f>INDEX(SharedParams[Name],ROW(B82))</f>
        <v>DPP_SAD_Fire_Ssubclass</v>
      </c>
      <c r="B83" s="53" t="s">
        <v>467</v>
      </c>
      <c r="C83" s="53" t="str">
        <f>IFERROR(
   IF(
      VLOOKUP(
         INDEX('Shared parameters'!$A$2:$A$200,
                MATCH($A83,'Shared parameters'!$B$2:$B$200,0)
         ),
         'Parameter Categories'!$B$2:$G$200,
         6,
         FALSE
      )="x",
      "No",
      IF(
         VLOOKUP(
            INDEX('Shared parameters'!$A$2:$A$200,
                   MATCH($A83,'Shared parameters'!$B$2:$B$200,0)
            ),
            'Parameter Categories'!$B$2:$G$200,
            5,
            FALSE
         )="x",
         "Yes",
         ""
      )
   ),
"")</f>
        <v>No</v>
      </c>
      <c r="D83" s="55" t="str">
        <f>IFERROR(
   VLOOKUP(
      INDEX('Shared parameters'!$A$2:$A$200,
             MATCH($A83,'Shared parameters'!$B$2:$B$200,0)
      ),
      'Data Entry'!$A$2:$B$200,
      2,
      FALSE
   ),
"")</f>
        <v>s1 (Little or no smoke)</v>
      </c>
    </row>
    <row r="84" spans="1:4" ht="28.8" x14ac:dyDescent="0.3">
      <c r="A84" s="53" t="str">
        <f>INDEX(SharedParams[Name],ROW(B83))</f>
        <v>DPP_SAD_Fire_Dsubclass</v>
      </c>
      <c r="B84" s="53" t="s">
        <v>467</v>
      </c>
      <c r="C84" s="53" t="str">
        <f>IFERROR(
   IF(
      VLOOKUP(
         INDEX('Shared parameters'!$A$2:$A$200,
                MATCH($A84,'Shared parameters'!$B$2:$B$200,0)
         ),
         'Parameter Categories'!$B$2:$G$200,
         6,
         FALSE
      )="x",
      "No",
      IF(
         VLOOKUP(
            INDEX('Shared parameters'!$A$2:$A$200,
                   MATCH($A84,'Shared parameters'!$B$2:$B$200,0)
            ),
            'Parameter Categories'!$B$2:$G$200,
            5,
            FALSE
         )="x",
         "Yes",
         ""
      )
   ),
"")</f>
        <v>No</v>
      </c>
      <c r="D84" s="55" t="str">
        <f>IFERROR(
   VLOOKUP(
      INDEX('Shared parameters'!$A$2:$A$200,
             MATCH($A84,'Shared parameters'!$B$2:$B$200,0)
      ),
      'Data Entry'!$A$2:$B$200,
      2,
      FALSE
   ),
"")</f>
        <v>d0 (No flaming droplets or particles)</v>
      </c>
    </row>
    <row r="85" spans="1:4" x14ac:dyDescent="0.3">
      <c r="A85" s="53" t="str">
        <f>INDEX(SharedParams[Name],ROW(B84))</f>
        <v>DPP_SAD_FireResistance</v>
      </c>
      <c r="B85" s="53" t="s">
        <v>467</v>
      </c>
      <c r="C85" s="53" t="str">
        <f>IFERROR(
   IF(
      VLOOKUP(
         INDEX('Shared parameters'!$A$2:$A$200,
                MATCH($A85,'Shared parameters'!$B$2:$B$200,0)
         ),
         'Parameter Categories'!$B$2:$G$200,
         6,
         FALSE
      )="x",
      "No",
      IF(
         VLOOKUP(
            INDEX('Shared parameters'!$A$2:$A$200,
                   MATCH($A85,'Shared parameters'!$B$2:$B$200,0)
            ),
            'Parameter Categories'!$B$2:$G$200,
            5,
            FALSE
         )="x",
         "Yes",
         ""
      )
   ),
"")</f>
        <v>No</v>
      </c>
      <c r="D85" s="55" t="str">
        <f>IFERROR(
   VLOOKUP(
      INDEX('Shared parameters'!$A$2:$A$200,
             MATCH($A85,'Shared parameters'!$B$2:$B$200,0)
      ),
      'Data Entry'!$A$2:$B$200,
      2,
      FALSE
   ),
"")</f>
        <v>B-s1; d0</v>
      </c>
    </row>
    <row r="86" spans="1:4" x14ac:dyDescent="0.3">
      <c r="A86" s="53" t="str">
        <f>INDEX(SharedParams[Name],ROW(B85))</f>
        <v>DPP_SAD_Coatings</v>
      </c>
      <c r="B86" s="53" t="s">
        <v>502</v>
      </c>
      <c r="C86" s="53" t="str">
        <f>IFERROR(
   IF(
      VLOOKUP(
         INDEX('Shared parameters'!$A$2:$A$200,
                MATCH($A86,'Shared parameters'!$B$2:$B$200,0)
         ),
         'Parameter Categories'!$B$2:$G$200,
         6,
         FALSE
      )="x",
      "No",
      IF(
         VLOOKUP(
            INDEX('Shared parameters'!$A$2:$A$200,
                   MATCH($A86,'Shared parameters'!$B$2:$B$200,0)
            ),
            'Parameter Categories'!$B$2:$G$200,
            5,
            FALSE
         )="x",
         "Yes",
         ""
      )
   ),
"")</f>
        <v>No</v>
      </c>
      <c r="D86" s="55" t="str">
        <f>IFERROR(
   VLOOKUP(
      INDEX('Shared parameters'!$A$2:$A$200,
             MATCH($A86,'Shared parameters'!$B$2:$B$200,0)
      ),
      'Data Entry'!$A$2:$B$200,
      2,
      FALSE
   ),
"")</f>
        <v>Yes</v>
      </c>
    </row>
    <row r="87" spans="1:4" ht="72" x14ac:dyDescent="0.3">
      <c r="A87" s="53" t="str">
        <f>INDEX(SharedParams[Name],ROW(B86))</f>
        <v>DPP_SAD_CoatingType</v>
      </c>
      <c r="B87" s="53" t="s">
        <v>502</v>
      </c>
      <c r="C87" s="53" t="str">
        <f>IFERROR(
   IF(
      VLOOKUP(
         INDEX('Shared parameters'!$A$2:$A$200,
                MATCH($A87,'Shared parameters'!$B$2:$B$200,0)
         ),
         'Parameter Categories'!$B$2:$G$200,
         6,
         FALSE
      )="x",
      "No",
      IF(
         VLOOKUP(
            INDEX('Shared parameters'!$A$2:$A$200,
                   MATCH($A87,'Shared parameters'!$B$2:$B$200,0)
            ),
            'Parameter Categories'!$B$2:$G$200,
            5,
            FALSE
         )="x",
         "Yes",
         ""
      )
   ),
"")</f>
        <v>No</v>
      </c>
      <c r="D87" s="55" t="str">
        <f>IFERROR(
   VLOOKUP(
      INDEX('Shared parameters'!$A$2:$A$200,
             MATCH($A87,'Shared parameters'!$B$2:$B$200,0)
      ),
      'Data Entry'!$A$2:$B$200,
      2,
      FALSE
   ),
"")</f>
        <v>breathable, vapor-permeable coatings, including lime-based plaster and natural mineral paints</v>
      </c>
    </row>
    <row r="88" spans="1:4" x14ac:dyDescent="0.3">
      <c r="A88" s="53" t="str">
        <f>INDEX(SharedParams[Name],ROW(B87))</f>
        <v>DPP_SAD_PPERequirements</v>
      </c>
      <c r="B88" s="53" t="s">
        <v>498</v>
      </c>
      <c r="C88" s="53" t="str">
        <f>IFERROR(
   IF(
      VLOOKUP(
         INDEX('Shared parameters'!$A$2:$A$200,
                MATCH($A88,'Shared parameters'!$B$2:$B$200,0)
         ),
         'Parameter Categories'!$B$2:$G$200,
         6,
         FALSE
      )="x",
      "No",
      IF(
         VLOOKUP(
            INDEX('Shared parameters'!$A$2:$A$200,
                   MATCH($A88,'Shared parameters'!$B$2:$B$200,0)
            ),
            'Parameter Categories'!$B$2:$G$200,
            5,
            FALSE
         )="x",
         "Yes",
         ""
      )
   ),
"")</f>
        <v>No</v>
      </c>
      <c r="D88" s="55">
        <f>IFERROR(
   VLOOKUP(
      INDEX('Shared parameters'!$A$2:$A$200,
             MATCH($A88,'Shared parameters'!$B$2:$B$200,0)
      ),
      'Data Entry'!$A$2:$B$200,
      2,
      FALSE
   ),
"")</f>
        <v>0</v>
      </c>
    </row>
    <row r="89" spans="1:4" x14ac:dyDescent="0.3">
      <c r="A89" s="53" t="str">
        <f>INDEX(SharedParams[Name],ROW(B88))</f>
        <v>DPP_SAD_Compliance</v>
      </c>
      <c r="B89" s="53" t="s">
        <v>487</v>
      </c>
      <c r="C89" s="53" t="str">
        <f>IFERROR(
   IF(
      VLOOKUP(
         INDEX('Shared parameters'!$A$2:$A$200,
                MATCH($A89,'Shared parameters'!$B$2:$B$200,0)
         ),
         'Parameter Categories'!$B$2:$G$200,
         6,
         FALSE
      )="x",
      "No",
      IF(
         VLOOKUP(
            INDEX('Shared parameters'!$A$2:$A$200,
                   MATCH($A89,'Shared parameters'!$B$2:$B$200,0)
            ),
            'Parameter Categories'!$B$2:$G$200,
            5,
            FALSE
         )="x",
         "Yes",
         ""
      )
   ),
"")</f>
        <v>No</v>
      </c>
      <c r="D89" s="55" t="str">
        <f>IFERROR(
   VLOOKUP(
      INDEX('Shared parameters'!$A$2:$A$200,
             MATCH($A89,'Shared parameters'!$B$2:$B$200,0)
      ),
      'Data Entry'!$A$2:$B$200,
      2,
      FALSE
   ),
"")</f>
        <v>Yes</v>
      </c>
    </row>
    <row r="90" spans="1:4" x14ac:dyDescent="0.3">
      <c r="A90" s="53" t="str">
        <f>INDEX(SharedParams[Name],ROW(B89))</f>
        <v>DPP_ASD_SAC</v>
      </c>
      <c r="B90" s="53" t="s">
        <v>476</v>
      </c>
      <c r="C90" s="53" t="str">
        <f>IFERROR(
   IF(
      VLOOKUP(
         INDEX('Shared parameters'!$A$2:$A$200,
                MATCH($A90,'Shared parameters'!$B$2:$B$200,0)
         ),
         'Parameter Categories'!$B$2:$G$200,
         6,
         FALSE
      )="x",
      "No",
      IF(
         VLOOKUP(
            INDEX('Shared parameters'!$A$2:$A$200,
                   MATCH($A90,'Shared parameters'!$B$2:$B$200,0)
            ),
            'Parameter Categories'!$B$2:$G$200,
            5,
            FALSE
         )="x",
         "Yes",
         ""
      )
   ),
"")</f>
        <v>No</v>
      </c>
      <c r="D90" s="55">
        <f>IFERROR(
   VLOOKUP(
      INDEX('Shared parameters'!$A$2:$A$200,
             MATCH($A90,'Shared parameters'!$B$2:$B$200,0)
      ),
      'Data Entry'!$A$2:$B$200,
      2,
      FALSE
   ),
"")</f>
        <v>0.8</v>
      </c>
    </row>
    <row r="91" spans="1:4" x14ac:dyDescent="0.3">
      <c r="A91" s="53" t="str">
        <f>INDEX(SharedParams[Name],ROW(B90))</f>
        <v>DPP_ASD_SAI_db</v>
      </c>
      <c r="B91" s="53" t="s">
        <v>476</v>
      </c>
      <c r="C91" s="53" t="str">
        <f>IFERROR(
   IF(
      VLOOKUP(
         INDEX('Shared parameters'!$A$2:$A$200,
                MATCH($A91,'Shared parameters'!$B$2:$B$200,0)
         ),
         'Parameter Categories'!$B$2:$G$200,
         6,
         FALSE
      )="x",
      "No",
      IF(
         VLOOKUP(
            INDEX('Shared parameters'!$A$2:$A$200,
                   MATCH($A91,'Shared parameters'!$B$2:$B$200,0)
            ),
            'Parameter Categories'!$B$2:$G$200,
            5,
            FALSE
         )="x",
         "Yes",
         ""
      )
   ),
"")</f>
        <v>No</v>
      </c>
      <c r="D91" s="55" t="str">
        <f>IFERROR(
   VLOOKUP(
      INDEX('Shared parameters'!$A$2:$A$200,
             MATCH($A91,'Shared parameters'!$B$2:$B$200,0)
      ),
      'Data Entry'!$A$2:$B$200,
      2,
      FALSE
   ),
"")</f>
        <v>&gt;-41</v>
      </c>
    </row>
    <row r="92" spans="1:4" x14ac:dyDescent="0.3">
      <c r="A92" s="53" t="str">
        <f>INDEX(SharedParams[Name],ROW(B91))</f>
        <v>DPP_ASD_Color</v>
      </c>
      <c r="B92" s="53" t="s">
        <v>596</v>
      </c>
      <c r="C92" s="53" t="str">
        <f>IFERROR(
   IF(
      VLOOKUP(
         INDEX('Shared parameters'!$A$2:$A$200,
                MATCH($A92,'Shared parameters'!$B$2:$B$200,0)
         ),
         'Parameter Categories'!$B$2:$G$200,
         6,
         FALSE
      )="x",
      "No",
      IF(
         VLOOKUP(
            INDEX('Shared parameters'!$A$2:$A$200,
                   MATCH($A92,'Shared parameters'!$B$2:$B$200,0)
            ),
            'Parameter Categories'!$B$2:$G$200,
            5,
            FALSE
         )="x",
         "Yes",
         ""
      )
   ),
"")</f>
        <v>Yes</v>
      </c>
      <c r="D92" s="55" t="str">
        <f>IFERROR(
   VLOOKUP(
      INDEX('Shared parameters'!$A$2:$A$200,
             MATCH($A92,'Shared parameters'!$B$2:$B$200,0)
      ),
      'Data Entry'!$A$2:$B$200,
      2,
      FALSE
   ),
"")</f>
        <v>Natural Beige #D8C9A6</v>
      </c>
    </row>
    <row r="93" spans="1:4" ht="28.8" x14ac:dyDescent="0.3">
      <c r="A93" s="53" t="str">
        <f>INDEX(SharedParams[Name],ROW(B92))</f>
        <v>DPP_ASD_Odor</v>
      </c>
      <c r="B93" s="53" t="s">
        <v>596</v>
      </c>
      <c r="C93" s="53" t="str">
        <f>IFERROR(
   IF(
      VLOOKUP(
         INDEX('Shared parameters'!$A$2:$A$200,
                MATCH($A93,'Shared parameters'!$B$2:$B$200,0)
         ),
         'Parameter Categories'!$B$2:$G$200,
         6,
         FALSE
      )="x",
      "No",
      IF(
         VLOOKUP(
            INDEX('Shared parameters'!$A$2:$A$200,
                   MATCH($A93,'Shared parameters'!$B$2:$B$200,0)
            ),
            'Parameter Categories'!$B$2:$G$200,
            5,
            FALSE
         )="x",
         "Yes",
         ""
      )
   ),
"")</f>
        <v>Yes</v>
      </c>
      <c r="D93" s="55" t="str">
        <f>IFERROR(
   VLOOKUP(
      INDEX('Shared parameters'!$A$2:$A$200,
             MATCH($A93,'Shared parameters'!$B$2:$B$200,0)
      ),
      'Data Entry'!$A$2:$B$200,
      2,
      FALSE
   ),
"")</f>
        <v>Mild, earthy, lime-fresh scent</v>
      </c>
    </row>
    <row r="94" spans="1:4" ht="28.8" x14ac:dyDescent="0.3">
      <c r="A94" s="53" t="str">
        <f>INDEX(SharedParams[Name],ROW(B93))</f>
        <v>DPP_ASD_Texture</v>
      </c>
      <c r="B94" s="53" t="s">
        <v>596</v>
      </c>
      <c r="C94" s="53" t="str">
        <f>IFERROR(
   IF(
      VLOOKUP(
         INDEX('Shared parameters'!$A$2:$A$200,
                MATCH($A94,'Shared parameters'!$B$2:$B$200,0)
         ),
         'Parameter Categories'!$B$2:$G$200,
         6,
         FALSE
      )="x",
      "No",
      IF(
         VLOOKUP(
            INDEX('Shared parameters'!$A$2:$A$200,
                   MATCH($A94,'Shared parameters'!$B$2:$B$200,0)
            ),
            'Parameter Categories'!$B$2:$G$200,
            5,
            FALSE
         )="x",
         "Yes",
         ""
      )
   ),
"")</f>
        <v>Yes</v>
      </c>
      <c r="D94" s="55" t="str">
        <f>IFERROR(
   VLOOKUP(
      INDEX('Shared parameters'!$A$2:$A$200,
             MATCH($A94,'Shared parameters'!$B$2:$B$200,0)
      ),
      'Data Entry'!$A$2:$B$200,
      2,
      FALSE
   ),
"")</f>
        <v>Porous, fibrous, and dry to the touch</v>
      </c>
    </row>
    <row r="95" spans="1:4" ht="28.8" x14ac:dyDescent="0.3">
      <c r="A95" s="53" t="str">
        <f>INDEX(SharedParams[Name],ROW(B94))</f>
        <v>DPP_ASD_Temp</v>
      </c>
      <c r="B95" s="53" t="s">
        <v>596</v>
      </c>
      <c r="C95" s="53" t="str">
        <f>IFERROR(
   IF(
      VLOOKUP(
         INDEX('Shared parameters'!$A$2:$A$200,
                MATCH($A95,'Shared parameters'!$B$2:$B$200,0)
         ),
         'Parameter Categories'!$B$2:$G$200,
         6,
         FALSE
      )="x",
      "No",
      IF(
         VLOOKUP(
            INDEX('Shared parameters'!$A$2:$A$200,
                   MATCH($A95,'Shared parameters'!$B$2:$B$200,0)
            ),
            'Parameter Categories'!$B$2:$G$200,
            5,
            FALSE
         )="x",
         "Yes",
         ""
      )
   ),
"")</f>
        <v>Yes</v>
      </c>
      <c r="D95" s="55" t="str">
        <f>IFERROR(
   VLOOKUP(
      INDEX('Shared parameters'!$A$2:$A$200,
             MATCH($A95,'Shared parameters'!$B$2:$B$200,0)
      ),
      'Data Entry'!$A$2:$B$200,
      2,
      FALSE
   ),
"")</f>
        <v>Feels thermally neutral or slightly warm</v>
      </c>
    </row>
    <row r="96" spans="1:4" x14ac:dyDescent="0.3">
      <c r="A96" s="53" t="str">
        <f>INDEX(SharedParams[Name],ROW(B95))</f>
        <v>DPP_ASD_ClimateSuitability</v>
      </c>
      <c r="B96" s="53" t="s">
        <v>524</v>
      </c>
      <c r="C96" s="53" t="str">
        <f>IFERROR(
   IF(
      VLOOKUP(
         INDEX('Shared parameters'!$A$2:$A$200,
                MATCH($A96,'Shared parameters'!$B$2:$B$200,0)
         ),
         'Parameter Categories'!$B$2:$G$200,
         6,
         FALSE
      )="x",
      "No",
      IF(
         VLOOKUP(
            INDEX('Shared parameters'!$A$2:$A$200,
                   MATCH($A96,'Shared parameters'!$B$2:$B$200,0)
            ),
            'Parameter Categories'!$B$2:$G$200,
            5,
            FALSE
         )="x",
         "Yes",
         ""
      )
   ),
"")</f>
        <v>Yes</v>
      </c>
      <c r="D96" s="55" t="str">
        <f>IFERROR(
   VLOOKUP(
      INDEX('Shared parameters'!$A$2:$A$200,
             MATCH($A96,'Shared parameters'!$B$2:$B$200,0)
      ),
      'Data Entry'!$A$2:$B$200,
      2,
      FALSE
   ),
"")</f>
        <v>Varied</v>
      </c>
    </row>
    <row r="97" spans="1:4" x14ac:dyDescent="0.3">
      <c r="A97" s="53" t="str">
        <f>INDEX(SharedParams[Name],ROW(B96))</f>
        <v>DPP_ASD_AgriculturalValue</v>
      </c>
      <c r="B97" s="53" t="s">
        <v>524</v>
      </c>
      <c r="C97" s="53" t="str">
        <f>IFERROR(
   IF(
      VLOOKUP(
         INDEX('Shared parameters'!$A$2:$A$200,
                MATCH($A97,'Shared parameters'!$B$2:$B$200,0)
         ),
         'Parameter Categories'!$B$2:$G$200,
         6,
         FALSE
      )="x",
      "No",
      IF(
         VLOOKUP(
            INDEX('Shared parameters'!$A$2:$A$200,
                   MATCH($A97,'Shared parameters'!$B$2:$B$200,0)
            ),
            'Parameter Categories'!$B$2:$G$200,
            5,
            FALSE
         )="x",
         "Yes",
         ""
      )
   ),
"")</f>
        <v>Yes</v>
      </c>
      <c r="D97" s="55" t="str">
        <f>IFERROR(
   VLOOKUP(
      INDEX('Shared parameters'!$A$2:$A$200,
             MATCH($A97,'Shared parameters'!$B$2:$B$200,0)
      ),
      'Data Entry'!$A$2:$B$200,
      2,
      FALSE
   ),
"")</f>
        <v>High</v>
      </c>
    </row>
    <row r="98" spans="1:4" x14ac:dyDescent="0.3">
      <c r="A98" s="53" t="str">
        <f>INDEX(SharedParams[Name],ROW(B97))</f>
        <v>DPP_ASD_ResourseAvailability</v>
      </c>
      <c r="B98" s="53" t="s">
        <v>524</v>
      </c>
      <c r="C98" s="53" t="str">
        <f>IFERROR(
   IF(
      VLOOKUP(
         INDEX('Shared parameters'!$A$2:$A$200,
                MATCH($A98,'Shared parameters'!$B$2:$B$200,0)
         ),
         'Parameter Categories'!$B$2:$G$200,
         6,
         FALSE
      )="x",
      "No",
      IF(
         VLOOKUP(
            INDEX('Shared parameters'!$A$2:$A$200,
                   MATCH($A98,'Shared parameters'!$B$2:$B$200,0)
            ),
            'Parameter Categories'!$B$2:$G$200,
            5,
            FALSE
         )="x",
         "Yes",
         ""
      )
   ),
"")</f>
        <v>Yes</v>
      </c>
      <c r="D98" s="55" t="str">
        <f>IFERROR(
   VLOOKUP(
      INDEX('Shared parameters'!$A$2:$A$200,
             MATCH($A98,'Shared parameters'!$B$2:$B$200,0)
      ),
      'Data Entry'!$A$2:$B$200,
      2,
      FALSE
   ),
"")</f>
        <v>Regional</v>
      </c>
    </row>
    <row r="99" spans="1:4" x14ac:dyDescent="0.3">
      <c r="A99" s="53" t="str">
        <f>INDEX(SharedParams[Name],ROW(B98))</f>
        <v>DPP_ASD_Aging</v>
      </c>
      <c r="B99" s="53" t="s">
        <v>524</v>
      </c>
      <c r="C99" s="53" t="str">
        <f>IFERROR(
   IF(
      VLOOKUP(
         INDEX('Shared parameters'!$A$2:$A$200,
                MATCH($A99,'Shared parameters'!$B$2:$B$200,0)
         ),
         'Parameter Categories'!$B$2:$G$200,
         6,
         FALSE
      )="x",
      "No",
      IF(
         VLOOKUP(
            INDEX('Shared parameters'!$A$2:$A$200,
                   MATCH($A99,'Shared parameters'!$B$2:$B$200,0)
            ),
            'Parameter Categories'!$B$2:$G$200,
            5,
            FALSE
         )="x",
         "Yes",
         ""
      )
   ),
"")</f>
        <v>Yes</v>
      </c>
      <c r="D99" s="55">
        <f>IFERROR(
   VLOOKUP(
      INDEX('Shared parameters'!$A$2:$A$200,
             MATCH($A99,'Shared parameters'!$B$2:$B$200,0)
      ),
      'Data Entry'!$A$2:$B$200,
      2,
      FALSE
   ),
"")</f>
        <v>4</v>
      </c>
    </row>
    <row r="100" spans="1:4" x14ac:dyDescent="0.3">
      <c r="A100" s="53" t="str">
        <f>INDEX(SharedParams[Name],ROW(B99))</f>
        <v>DPP_ASD_Architectural</v>
      </c>
      <c r="B100" s="53" t="s">
        <v>524</v>
      </c>
      <c r="C100" s="53" t="str">
        <f>IFERROR(
   IF(
      VLOOKUP(
         INDEX('Shared parameters'!$A$2:$A$200,
                MATCH($A100,'Shared parameters'!$B$2:$B$200,0)
         ),
         'Parameter Categories'!$B$2:$G$200,
         6,
         FALSE
      )="x",
      "No",
      IF(
         VLOOKUP(
            INDEX('Shared parameters'!$A$2:$A$200,
                   MATCH($A100,'Shared parameters'!$B$2:$B$200,0)
            ),
            'Parameter Categories'!$B$2:$G$200,
            5,
            FALSE
         )="x",
         "Yes",
         ""
      )
   ),
"")</f>
        <v>Yes</v>
      </c>
      <c r="D100" s="55">
        <f>IFERROR(
   VLOOKUP(
      INDEX('Shared parameters'!$A$2:$A$200,
             MATCH($A100,'Shared parameters'!$B$2:$B$200,0)
      ),
      'Data Entry'!$A$2:$B$200,
      2,
      FALSE
   ),
"")</f>
        <v>4</v>
      </c>
    </row>
    <row r="101" spans="1:4" x14ac:dyDescent="0.3">
      <c r="A101" s="53" t="str">
        <f>INDEX(SharedParams[Name],ROW(B100))</f>
        <v>DPP_ASD_Aesthetic</v>
      </c>
      <c r="B101" s="53" t="s">
        <v>524</v>
      </c>
      <c r="C101" s="53" t="str">
        <f>IFERROR(
   IF(
      VLOOKUP(
         INDEX('Shared parameters'!$A$2:$A$200,
                MATCH($A101,'Shared parameters'!$B$2:$B$200,0)
         ),
         'Parameter Categories'!$B$2:$G$200,
         6,
         FALSE
      )="x",
      "No",
      IF(
         VLOOKUP(
            INDEX('Shared parameters'!$A$2:$A$200,
                   MATCH($A101,'Shared parameters'!$B$2:$B$200,0)
            ),
            'Parameter Categories'!$B$2:$G$200,
            5,
            FALSE
         )="x",
         "Yes",
         ""
      )
   ),
"")</f>
        <v>No</v>
      </c>
      <c r="D101" s="55">
        <f>IFERROR(
   VLOOKUP(
      INDEX('Shared parameters'!$A$2:$A$200,
             MATCH($A101,'Shared parameters'!$B$2:$B$200,0)
      ),
      'Data Entry'!$A$2:$B$200,
      2,
      FALSE
   ),
"")</f>
        <v>5</v>
      </c>
    </row>
    <row r="102" spans="1:4" ht="57.6" x14ac:dyDescent="0.3">
      <c r="A102" s="53" t="str">
        <f>INDEX(SharedParams[Name],ROW(B101))</f>
        <v>DPP_ASD_ComfortThermal</v>
      </c>
      <c r="B102" s="53" t="s">
        <v>10</v>
      </c>
      <c r="C102" s="53" t="str">
        <f>IFERROR(
   IF(
      VLOOKUP(
         INDEX('Shared parameters'!$A$2:$A$200,
                MATCH($A102,'Shared parameters'!$B$2:$B$200,0)
         ),
         'Parameter Categories'!$B$2:$G$200,
         6,
         FALSE
      )="x",
      "No",
      IF(
         VLOOKUP(
            INDEX('Shared parameters'!$A$2:$A$200,
                   MATCH($A102,'Shared parameters'!$B$2:$B$200,0)
            ),
            'Parameter Categories'!$B$2:$G$200,
            5,
            FALSE
         )="x",
         "Yes",
         ""
      )
   ),
"")</f>
        <v>No</v>
      </c>
      <c r="D102" s="55" t="str">
        <f>IFERROR(
   VLOOKUP(
      INDEX('Shared parameters'!$A$2:$A$200,
             MATCH($A102,'Shared parameters'!$B$2:$B$200,0)
      ),
      'Data Entry'!$A$2:$B$200,
      2,
      FALSE
   ),
"")</f>
        <v>Provides insulation, stabilizes indoor temperature, reduces overheating and heat loss.</v>
      </c>
    </row>
    <row r="103" spans="1:4" ht="57.6" x14ac:dyDescent="0.3">
      <c r="A103" s="53" t="str">
        <f>INDEX(SharedParams[Name],ROW(B102))</f>
        <v>DPP_ASD_ComfortHygrothermal</v>
      </c>
      <c r="B103" s="53" t="s">
        <v>10</v>
      </c>
      <c r="C103" s="53" t="str">
        <f>IFERROR(
   IF(
      VLOOKUP(
         INDEX('Shared parameters'!$A$2:$A$200,
                MATCH($A103,'Shared parameters'!$B$2:$B$200,0)
         ),
         'Parameter Categories'!$B$2:$G$200,
         6,
         FALSE
      )="x",
      "No",
      IF(
         VLOOKUP(
            INDEX('Shared parameters'!$A$2:$A$200,
                   MATCH($A103,'Shared parameters'!$B$2:$B$200,0)
            ),
            'Parameter Categories'!$B$2:$G$200,
            5,
            FALSE
         )="x",
         "Yes",
         ""
      )
   ),
"")</f>
        <v>No</v>
      </c>
      <c r="D103" s="55" t="str">
        <f>IFERROR(
   VLOOKUP(
      INDEX('Shared parameters'!$A$2:$A$200,
             MATCH($A103,'Shared parameters'!$B$2:$B$200,0)
      ),
      'Data Entry'!$A$2:$B$200,
      2,
      FALSE
   ),
"")</f>
        <v>Regulates indoor humidity, doees not prevent condensation and mold, enhances air quality.</v>
      </c>
    </row>
    <row r="104" spans="1:4" ht="57.6" x14ac:dyDescent="0.3">
      <c r="A104" s="53" t="str">
        <f>INDEX(SharedParams[Name],ROW(B103))</f>
        <v>DPP_ASD_ComfortAcoustic</v>
      </c>
      <c r="B104" s="53" t="s">
        <v>10</v>
      </c>
      <c r="C104" s="53" t="str">
        <f>IFERROR(
   IF(
      VLOOKUP(
         INDEX('Shared parameters'!$A$2:$A$200,
                MATCH($A104,'Shared parameters'!$B$2:$B$200,0)
         ),
         'Parameter Categories'!$B$2:$G$200,
         6,
         FALSE
      )="x",
      "No",
      IF(
         VLOOKUP(
            INDEX('Shared parameters'!$A$2:$A$200,
                   MATCH($A104,'Shared parameters'!$B$2:$B$200,0)
            ),
            'Parameter Categories'!$B$2:$G$200,
            5,
            FALSE
         )="x",
         "Yes",
         ""
      )
   ),
"")</f>
        <v>No</v>
      </c>
      <c r="D104" s="55" t="str">
        <f>IFERROR(
   VLOOKUP(
      INDEX('Shared parameters'!$A$2:$A$200,
             MATCH($A104,'Shared parameters'!$B$2:$B$200,0)
      ),
      'Data Entry'!$A$2:$B$200,
      2,
      FALSE
   ),
"")</f>
        <v>Good sound absorption due to porous structure, reduces noise transmission and reverberation.</v>
      </c>
    </row>
    <row r="105" spans="1:4" ht="57.6" x14ac:dyDescent="0.3">
      <c r="A105" s="53" t="str">
        <f>INDEX(SharedParams[Name],ROW(B104))</f>
        <v>DPP_ASD_ComfortMaterial</v>
      </c>
      <c r="B105" s="53" t="s">
        <v>10</v>
      </c>
      <c r="C105" s="53" t="str">
        <f>IFERROR(
   IF(
      VLOOKUP(
         INDEX('Shared parameters'!$A$2:$A$200,
                MATCH($A105,'Shared parameters'!$B$2:$B$200,0)
         ),
         'Parameter Categories'!$B$2:$G$200,
         6,
         FALSE
      )="x",
      "No",
      IF(
         VLOOKUP(
            INDEX('Shared parameters'!$A$2:$A$200,
                   MATCH($A105,'Shared parameters'!$B$2:$B$200,0)
            ),
            'Parameter Categories'!$B$2:$G$200,
            5,
            FALSE
         )="x",
         "Yes",
         ""
      )
   ),
"")</f>
        <v>No</v>
      </c>
      <c r="D105" s="55" t="str">
        <f>IFERROR(
   VLOOKUP(
      INDEX('Shared parameters'!$A$2:$A$200,
             MATCH($A105,'Shared parameters'!$B$2:$B$200,0)
      ),
      'Data Entry'!$A$2:$B$200,
      2,
      FALSE
   ),
"")</f>
        <v>Non-toxic, breathable, natural aesthetics, supports psychological well-being.</v>
      </c>
    </row>
    <row r="106" spans="1:4" x14ac:dyDescent="0.3">
      <c r="A106" s="53" t="str">
        <f>INDEX(SharedParams[Name],ROW(B105))</f>
        <v>DPP_ASD_Craft</v>
      </c>
      <c r="B106" s="53" t="s">
        <v>524</v>
      </c>
      <c r="C106" s="53" t="str">
        <f>IFERROR(
   IF(
      VLOOKUP(
         INDEX('Shared parameters'!$A$2:$A$200,
                MATCH($A106,'Shared parameters'!$B$2:$B$200,0)
         ),
         'Parameter Categories'!$B$2:$G$200,
         6,
         FALSE
      )="x",
      "No",
      IF(
         VLOOKUP(
            INDEX('Shared parameters'!$A$2:$A$200,
                   MATCH($A106,'Shared parameters'!$B$2:$B$200,0)
            ),
            'Parameter Categories'!$B$2:$G$200,
            5,
            FALSE
         )="x",
         "Yes",
         ""
      )
   ),
"")</f>
        <v>Yes</v>
      </c>
      <c r="D106" s="55">
        <f>IFERROR(
   VLOOKUP(
      INDEX('Shared parameters'!$A$2:$A$200,
             MATCH($A106,'Shared parameters'!$B$2:$B$200,0)
      ),
      'Data Entry'!$A$2:$B$200,
      2,
      FALSE
   ),
"")</f>
        <v>2</v>
      </c>
    </row>
    <row r="107" spans="1:4" x14ac:dyDescent="0.3">
      <c r="A107" s="53" t="str">
        <f>INDEX(SharedParams[Name],ROW(B106))</f>
        <v>DPP_ASD_Symbolism</v>
      </c>
      <c r="B107" s="53" t="s">
        <v>524</v>
      </c>
      <c r="C107" s="53" t="str">
        <f>IFERROR(
   IF(
      VLOOKUP(
         INDEX('Shared parameters'!$A$2:$A$200,
                MATCH($A107,'Shared parameters'!$B$2:$B$200,0)
         ),
         'Parameter Categories'!$B$2:$G$200,
         6,
         FALSE
      )="x",
      "No",
      IF(
         VLOOKUP(
            INDEX('Shared parameters'!$A$2:$A$200,
                   MATCH($A107,'Shared parameters'!$B$2:$B$200,0)
            ),
            'Parameter Categories'!$B$2:$G$200,
            5,
            FALSE
         )="x",
         "Yes",
         ""
      )
   ),
"")</f>
        <v>Yes</v>
      </c>
      <c r="D107" s="55">
        <f>IFERROR(
   VLOOKUP(
      INDEX('Shared parameters'!$A$2:$A$200,
             MATCH($A107,'Shared parameters'!$B$2:$B$200,0)
      ),
      'Data Entry'!$A$2:$B$200,
      2,
      FALSE
   ),
"")</f>
        <v>4</v>
      </c>
    </row>
    <row r="108" spans="1:4" x14ac:dyDescent="0.3">
      <c r="A108" s="53" t="str">
        <f>INDEX(SharedParams[Name],ROW(B107))</f>
        <v>DPP_COD_UnitCost_EUR</v>
      </c>
      <c r="B108" s="53" t="s">
        <v>430</v>
      </c>
      <c r="C108" s="53" t="str">
        <f>IFERROR(
   IF(
      VLOOKUP(
         INDEX('Shared parameters'!$A$2:$A$200,
                MATCH($A108,'Shared parameters'!$B$2:$B$200,0)
         ),
         'Parameter Categories'!$B$2:$G$200,
         6,
         FALSE
      )="x",
      "No",
      IF(
         VLOOKUP(
            INDEX('Shared parameters'!$A$2:$A$200,
                   MATCH($A108,'Shared parameters'!$B$2:$B$200,0)
            ),
            'Parameter Categories'!$B$2:$G$200,
            5,
            FALSE
         )="x",
         "Yes",
         ""
      )
   ),
"")</f>
        <v>No</v>
      </c>
      <c r="D108" s="55">
        <f>IFERROR(
   VLOOKUP(
      INDEX('Shared parameters'!$A$2:$A$200,
             MATCH($A108,'Shared parameters'!$B$2:$B$200,0)
      ),
      'Data Entry'!$A$2:$B$200,
      2,
      FALSE
   ),
"")</f>
        <v>3.8</v>
      </c>
    </row>
    <row r="109" spans="1:4" x14ac:dyDescent="0.3">
      <c r="A109" s="53" t="str">
        <f>INDEX(SharedParams[Name],ROW(B108))</f>
        <v>DPP_COD_Assembly_EUR</v>
      </c>
      <c r="B109" s="53" t="s">
        <v>430</v>
      </c>
      <c r="C109" s="53" t="str">
        <f>IFERROR(
   IF(
      VLOOKUP(
         INDEX('Shared parameters'!$A$2:$A$200,
                MATCH($A109,'Shared parameters'!$B$2:$B$200,0)
         ),
         'Parameter Categories'!$B$2:$G$200,
         6,
         FALSE
      )="x",
      "No",
      IF(
         VLOOKUP(
            INDEX('Shared parameters'!$A$2:$A$200,
                   MATCH($A109,'Shared parameters'!$B$2:$B$200,0)
            ),
            'Parameter Categories'!$B$2:$G$200,
            5,
            FALSE
         )="x",
         "Yes",
         ""
      )
   ),
"")</f>
        <v>No</v>
      </c>
      <c r="D109" s="55">
        <f>IFERROR(
   VLOOKUP(
      INDEX('Shared parameters'!$A$2:$A$200,
             MATCH($A109,'Shared parameters'!$B$2:$B$200,0)
      ),
      'Data Entry'!$A$2:$B$200,
      2,
      FALSE
   ),
"")</f>
        <v>30.4</v>
      </c>
    </row>
    <row r="110" spans="1:4" x14ac:dyDescent="0.3">
      <c r="A110" s="53" t="str">
        <f>INDEX(SharedParams[Name],ROW(B109))</f>
        <v>DPP_COD_Maintenance_EUR</v>
      </c>
      <c r="B110" s="53" t="s">
        <v>430</v>
      </c>
      <c r="C110" s="53" t="str">
        <f>IFERROR(
   IF(
      VLOOKUP(
         INDEX('Shared parameters'!$A$2:$A$200,
                MATCH($A110,'Shared parameters'!$B$2:$B$200,0)
         ),
         'Parameter Categories'!$B$2:$G$200,
         6,
         FALSE
      )="x",
      "No",
      IF(
         VLOOKUP(
            INDEX('Shared parameters'!$A$2:$A$200,
                   MATCH($A110,'Shared parameters'!$B$2:$B$200,0)
            ),
            'Parameter Categories'!$B$2:$G$200,
            5,
            FALSE
         )="x",
         "Yes",
         ""
      )
   ),
"")</f>
        <v>No</v>
      </c>
      <c r="D110" s="55">
        <f>IFERROR(
   VLOOKUP(
      INDEX('Shared parameters'!$A$2:$A$200,
             MATCH($A110,'Shared parameters'!$B$2:$B$200,0)
      ),
      'Data Entry'!$A$2:$B$200,
      2,
      FALSE
   ),
"")</f>
        <v>30</v>
      </c>
    </row>
    <row r="111" spans="1:4" x14ac:dyDescent="0.3">
      <c r="A111" s="53" t="str">
        <f>INDEX(SharedParams[Name],ROW(B110))</f>
        <v>DPP_COD_CircularBenefit_EUR</v>
      </c>
      <c r="B111" s="53" t="s">
        <v>430</v>
      </c>
      <c r="C111" s="53" t="str">
        <f>IFERROR(
   IF(
      VLOOKUP(
         INDEX('Shared parameters'!$A$2:$A$200,
                MATCH($A111,'Shared parameters'!$B$2:$B$200,0)
         ),
         'Parameter Categories'!$B$2:$G$200,
         6,
         FALSE
      )="x",
      "No",
      IF(
         VLOOKUP(
            INDEX('Shared parameters'!$A$2:$A$200,
                   MATCH($A111,'Shared parameters'!$B$2:$B$200,0)
            ),
            'Parameter Categories'!$B$2:$G$200,
            5,
            FALSE
         )="x",
         "Yes",
         ""
      )
   ),
"")</f>
        <v>No</v>
      </c>
      <c r="D111" s="55">
        <f>IFERROR(
   VLOOKUP(
      INDEX('Shared parameters'!$A$2:$A$200,
             MATCH($A111,'Shared parameters'!$B$2:$B$200,0)
      ),
      'Data Entry'!$A$2:$B$200,
      2,
      FALSE
   ),
"")</f>
        <v>0.39976</v>
      </c>
    </row>
    <row r="112" spans="1:4" x14ac:dyDescent="0.3">
      <c r="A112" s="53" t="str">
        <f>INDEX(SharedParams[Name],ROW(B111))</f>
        <v>DPP_COD_Replacement_EUR</v>
      </c>
      <c r="B112" s="53" t="s">
        <v>430</v>
      </c>
      <c r="C112" s="53" t="str">
        <f>IFERROR(
   IF(
      VLOOKUP(
         INDEX('Shared parameters'!$A$2:$A$200,
                MATCH($A112,'Shared parameters'!$B$2:$B$200,0)
         ),
         'Parameter Categories'!$B$2:$G$200,
         6,
         FALSE
      )="x",
      "No",
      IF(
         VLOOKUP(
            INDEX('Shared parameters'!$A$2:$A$200,
                   MATCH($A112,'Shared parameters'!$B$2:$B$200,0)
            ),
            'Parameter Categories'!$B$2:$G$200,
            5,
            FALSE
         )="x",
         "Yes",
         ""
      )
   ),
"")</f>
        <v>No</v>
      </c>
      <c r="D112" s="55">
        <f>IFERROR(
   VLOOKUP(
      INDEX('Shared parameters'!$A$2:$A$200,
             MATCH($A112,'Shared parameters'!$B$2:$B$200,0)
      ),
      'Data Entry'!$A$2:$B$200,
      2,
      FALSE
   ),
"")</f>
        <v>3.4002399999999997</v>
      </c>
    </row>
    <row r="113" spans="1:4" x14ac:dyDescent="0.3">
      <c r="A113" s="53" t="str">
        <f>INDEX(SharedParams[Name],ROW(B112))</f>
        <v>DPP_COD_NPV_EUR</v>
      </c>
      <c r="B113" s="53" t="s">
        <v>430</v>
      </c>
      <c r="C113" s="53" t="str">
        <f>IFERROR(
   IF(
      VLOOKUP(
         INDEX('Shared parameters'!$A$2:$A$200,
                MATCH($A113,'Shared parameters'!$B$2:$B$200,0)
         ),
         'Parameter Categories'!$B$2:$G$200,
         6,
         FALSE
      )="x",
      "No",
      IF(
         VLOOKUP(
            INDEX('Shared parameters'!$A$2:$A$200,
                   MATCH($A113,'Shared parameters'!$B$2:$B$200,0)
            ),
            'Parameter Categories'!$B$2:$G$200,
            5,
            FALSE
         )="x",
         "Yes",
         ""
      )
   ),
"")</f>
        <v>No</v>
      </c>
      <c r="D113" s="55">
        <f>IFERROR(
   VLOOKUP(
      INDEX('Shared parameters'!$A$2:$A$200,
             MATCH($A113,'Shared parameters'!$B$2:$B$200,0)
      ),
      'Data Entry'!$A$2:$B$200,
      2,
      FALSE
   ),
"")</f>
        <v>35.570751840116472</v>
      </c>
    </row>
    <row r="114" spans="1:4" x14ac:dyDescent="0.3">
      <c r="A114" s="53" t="str">
        <f>INDEX(SharedParams[Name],ROW(B113))</f>
        <v>DPP_COD_NS_EUR</v>
      </c>
      <c r="B114" s="53" t="s">
        <v>430</v>
      </c>
      <c r="C114" s="53" t="str">
        <f>IFERROR(
   IF(
      VLOOKUP(
         INDEX('Shared parameters'!$A$2:$A$200,
                MATCH($A114,'Shared parameters'!$B$2:$B$200,0)
         ),
         'Parameter Categories'!$B$2:$G$200,
         6,
         FALSE
      )="x",
      "No",
      IF(
         VLOOKUP(
            INDEX('Shared parameters'!$A$2:$A$200,
                   MATCH($A114,'Shared parameters'!$B$2:$B$200,0)
            ),
            'Parameter Categories'!$B$2:$G$200,
            5,
            FALSE
         )="x",
         "Yes",
         ""
      )
   ),
"")</f>
        <v>No</v>
      </c>
      <c r="D114" s="55">
        <f>IFERROR(
   VLOOKUP(
      INDEX('Shared parameters'!$A$2:$A$200,
             MATCH($A114,'Shared parameters'!$B$2:$B$200,0)
      ),
      'Data Entry'!$A$2:$B$200,
      2,
      FALSE
   ),
"")</f>
        <v>232.208</v>
      </c>
    </row>
    <row r="115" spans="1:4" x14ac:dyDescent="0.3">
      <c r="A115" s="53" t="str">
        <f>INDEX(SharedParams[Name],ROW(B114))</f>
        <v>DPP_COD_PBP</v>
      </c>
      <c r="B115" s="53" t="s">
        <v>430</v>
      </c>
      <c r="C115" s="53" t="str">
        <f>IFERROR(
   IF(
      VLOOKUP(
         INDEX('Shared parameters'!$A$2:$A$200,
                MATCH($A115,'Shared parameters'!$B$2:$B$200,0)
         ),
         'Parameter Categories'!$B$2:$G$200,
         6,
         FALSE
      )="x",
      "No",
      IF(
         VLOOKUP(
            INDEX('Shared parameters'!$A$2:$A$200,
                   MATCH($A115,'Shared parameters'!$B$2:$B$200,0)
            ),
            'Parameter Categories'!$B$2:$G$200,
            5,
            FALSE
         )="x",
         "Yes",
         ""
      )
   ),
"")</f>
        <v>No</v>
      </c>
      <c r="D115" s="55">
        <f>IFERROR(
   VLOOKUP(
      INDEX('Shared parameters'!$A$2:$A$200,
             MATCH($A115,'Shared parameters'!$B$2:$B$200,0)
      ),
      'Data Entry'!$A$2:$B$200,
      2,
      FALSE
   ),
"")</f>
        <v>12</v>
      </c>
    </row>
    <row r="116" spans="1:4" x14ac:dyDescent="0.3">
      <c r="A116" s="53" t="str">
        <f>INDEX(SharedParams[Name],ROW(B115))</f>
        <v>DPP_COD_BenefitCost</v>
      </c>
      <c r="B116" s="53" t="s">
        <v>430</v>
      </c>
      <c r="C116" s="53" t="str">
        <f>IFERROR(
   IF(
      VLOOKUP(
         INDEX('Shared parameters'!$A$2:$A$200,
                MATCH($A116,'Shared parameters'!$B$2:$B$200,0)
         ),
         'Parameter Categories'!$B$2:$G$200,
         6,
         FALSE
      )="x",
      "No",
      IF(
         VLOOKUP(
            INDEX('Shared parameters'!$A$2:$A$200,
                   MATCH($A116,'Shared parameters'!$B$2:$B$200,0)
            ),
            'Parameter Categories'!$B$2:$G$200,
            5,
            FALSE
         )="x",
         "Yes",
         ""
      )
   ),
"")</f>
        <v>No</v>
      </c>
      <c r="D116" s="55">
        <f>IFERROR(
   VLOOKUP(
      INDEX('Shared parameters'!$A$2:$A$200,
             MATCH($A116,'Shared parameters'!$B$2:$B$200,0)
      ),
      'Data Entry'!$A$2:$B$200,
      2,
      FALSE
   ),
"")</f>
        <v>2.1330440709330962</v>
      </c>
    </row>
    <row r="117" spans="1:4" x14ac:dyDescent="0.3">
      <c r="A117" s="53" t="str">
        <f>INDEX(SharedParams[Name],ROW(B116))</f>
        <v>DPP_COD_LCC_EUR</v>
      </c>
      <c r="B117" s="53" t="s">
        <v>430</v>
      </c>
      <c r="C117" s="53" t="str">
        <f>IFERROR(
   IF(
      VLOOKUP(
         INDEX('Shared parameters'!$A$2:$A$200,
                MATCH($A117,'Shared parameters'!$B$2:$B$200,0)
         ),
         'Parameter Categories'!$B$2:$G$200,
         6,
         FALSE
      )="x",
      "No",
      IF(
         VLOOKUP(
            INDEX('Shared parameters'!$A$2:$A$200,
                   MATCH($A117,'Shared parameters'!$B$2:$B$200,0)
            ),
            'Parameter Categories'!$B$2:$G$200,
            5,
            FALSE
         )="x",
         "Yes",
         ""
      )
   ),
"")</f>
        <v>No</v>
      </c>
      <c r="D117" s="55">
        <f>IFERROR(
   VLOOKUP(
      INDEX('Shared parameters'!$A$2:$A$200,
             MATCH($A117,'Shared parameters'!$B$2:$B$200,0)
      ),
      'Data Entry'!$A$2:$B$200,
      2,
      FALSE
   ),
"")</f>
        <v>47.376342833923765</v>
      </c>
    </row>
  </sheetData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'Built In Parameter groups'!$A:$A</xm:f>
          </x14:formula1>
          <xm:sqref>B2:B117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7"/>
  <sheetViews>
    <sheetView workbookViewId="0">
      <selection activeCell="E8" sqref="E8"/>
    </sheetView>
  </sheetViews>
  <sheetFormatPr baseColWidth="10" defaultRowHeight="14.4" x14ac:dyDescent="0.3"/>
  <cols>
    <col min="1" max="1" width="34.77734375" customWidth="1"/>
    <col min="2" max="2" width="23.109375" customWidth="1"/>
  </cols>
  <sheetData>
    <row r="1" spans="1:3" x14ac:dyDescent="0.3">
      <c r="A1" s="148" t="s">
        <v>778</v>
      </c>
      <c r="B1" s="148" t="s">
        <v>779</v>
      </c>
      <c r="C1" s="148" t="s">
        <v>780</v>
      </c>
    </row>
    <row r="2" spans="1:3" x14ac:dyDescent="0.3">
      <c r="A2" s="53" t="str">
        <f>INDEX(SharedParams[Name],ROW(B1))</f>
        <v>DPP_AUT_Name</v>
      </c>
      <c r="B2" t="str">
        <f>IFERROR(
   VLOOKUP(
      INDEX('Manual workflow'!$B$2:$B$200,
             MATCH($A2,'Manual workflow'!$A$2:$A$200,0)
      ),
      'Built In Parameter groups'!$A$2:$C$200,
      2,
      FALSE
   ),
"")</f>
        <v>IdentityData</v>
      </c>
      <c r="C2" t="str">
        <f>IFERROR(
   IF(
      VLOOKUP(
         INDEX('Shared parameters'!$A$2:$A$200,
                MATCH($A2,'Shared parameters'!$B$2:$B$200,0)
         ),
         'Parameter Categories'!$B$2:$G$200,
         6,
         FALSE
      )="x",
      "No",
      IF(
         VLOOKUP(
            INDEX('Shared parameters'!$A$2:$A$200,
                   MATCH($A2,'Shared parameters'!$B$2:$B$200,0)
            ),
            'Parameter Categories'!$B$2:$G$200,
            5,
            FALSE
         )="x",
         "Yes",
         ""
      )
   ),
"")</f>
        <v>No</v>
      </c>
    </row>
    <row r="3" spans="1:3" x14ac:dyDescent="0.3">
      <c r="A3" s="53" t="str">
        <f>INDEX(SharedParams[Name],ROW(B2))</f>
        <v>DPP_AUT_ID</v>
      </c>
      <c r="B3" s="53" t="str">
        <f>IFERROR(
   VLOOKUP(
      INDEX('Manual workflow'!$B$2:$B$200,
             MATCH($A3,'Manual workflow'!$A$2:$A$200,0)
      ),
      'Built In Parameter groups'!$A$2:$C$200,
      2,
      FALSE
   ),
"")</f>
        <v>IdentityData</v>
      </c>
      <c r="C3" s="53" t="str">
        <f>IFERROR(
   IF(
      VLOOKUP(
         INDEX('Shared parameters'!$A$2:$A$200,
                MATCH($A3,'Shared parameters'!$B$2:$B$200,0)
         ),
         'Parameter Categories'!$B$2:$G$200,
         6,
         FALSE
      )="x",
      "No",
      IF(
         VLOOKUP(
            INDEX('Shared parameters'!$A$2:$A$200,
                   MATCH($A3,'Shared parameters'!$B$2:$B$200,0)
            ),
            'Parameter Categories'!$B$2:$G$200,
            5,
            FALSE
         )="x",
         "Yes",
         ""
      )
   ),
"")</f>
        <v>No</v>
      </c>
    </row>
    <row r="4" spans="1:3" x14ac:dyDescent="0.3">
      <c r="A4" s="53" t="str">
        <f>INDEX(SharedParams[Name],ROW(B3))</f>
        <v>DPP_AUT_Image</v>
      </c>
      <c r="B4" s="53" t="str">
        <f>IFERROR(
   VLOOKUP(
      INDEX('Manual workflow'!$B$2:$B$200,
             MATCH($A4,'Manual workflow'!$A$2:$A$200,0)
      ),
      'Built In Parameter groups'!$A$2:$C$200,
      2,
      FALSE
   ),
"")</f>
        <v>IdentityData</v>
      </c>
      <c r="C4" s="53" t="str">
        <f>IFERROR(
   IF(
      VLOOKUP(
         INDEX('Shared parameters'!$A$2:$A$200,
                MATCH($A4,'Shared parameters'!$B$2:$B$200,0)
         ),
         'Parameter Categories'!$B$2:$G$200,
         6,
         FALSE
      )="x",
      "No",
      IF(
         VLOOKUP(
            INDEX('Shared parameters'!$A$2:$A$200,
                   MATCH($A4,'Shared parameters'!$B$2:$B$200,0)
            ),
            'Parameter Categories'!$B$2:$G$200,
            5,
            FALSE
         )="x",
         "Yes",
         ""
      )
   ),
"")</f>
        <v>Yes</v>
      </c>
    </row>
    <row r="5" spans="1:3" x14ac:dyDescent="0.3">
      <c r="A5" s="53" t="str">
        <f>INDEX(SharedParams[Name],ROW(B4))</f>
        <v>DPP_AUT_GUID</v>
      </c>
      <c r="B5" s="53" t="str">
        <f>IFERROR(
   VLOOKUP(
      INDEX('Manual workflow'!$B$2:$B$200,
             MATCH($A5,'Manual workflow'!$A$2:$A$200,0)
      ),
      'Built In Parameter groups'!$A$2:$C$200,
      2,
      FALSE
   ),
"")</f>
        <v>IdentityData</v>
      </c>
      <c r="C5" s="53" t="str">
        <f>IFERROR(
   IF(
      VLOOKUP(
         INDEX('Shared parameters'!$A$2:$A$200,
                MATCH($A5,'Shared parameters'!$B$2:$B$200,0)
         ),
         'Parameter Categories'!$B$2:$G$200,
         6,
         FALSE
      )="x",
      "No",
      IF(
         VLOOKUP(
            INDEX('Shared parameters'!$A$2:$A$200,
                   MATCH($A5,'Shared parameters'!$B$2:$B$200,0)
            ),
            'Parameter Categories'!$B$2:$G$200,
            5,
            FALSE
         )="x",
         "Yes",
         ""
      )
   ),
"")</f>
        <v>No</v>
      </c>
    </row>
    <row r="6" spans="1:3" x14ac:dyDescent="0.3">
      <c r="A6" s="53" t="str">
        <f>INDEX(SharedParams[Name],ROW(B5))</f>
        <v>DPP_AUT_MaterialType</v>
      </c>
      <c r="B6" s="53" t="str">
        <f>IFERROR(
   VLOOKUP(
      INDEX('Manual workflow'!$B$2:$B$200,
             MATCH($A6,'Manual workflow'!$A$2:$A$200,0)
      ),
      'Built In Parameter groups'!$A$2:$C$200,
      2,
      FALSE
   ),
"")</f>
        <v>Materials</v>
      </c>
      <c r="C6" s="53" t="str">
        <f>IFERROR(
   IF(
      VLOOKUP(
         INDEX('Shared parameters'!$A$2:$A$200,
                MATCH($A6,'Shared parameters'!$B$2:$B$200,0)
         ),
         'Parameter Categories'!$B$2:$G$200,
         6,
         FALSE
      )="x",
      "No",
      IF(
         VLOOKUP(
            INDEX('Shared parameters'!$A$2:$A$200,
                   MATCH($A6,'Shared parameters'!$B$2:$B$200,0)
            ),
            'Parameter Categories'!$B$2:$G$200,
            5,
            FALSE
         )="x",
         "Yes",
         ""
      )
   ),
"")</f>
        <v>No</v>
      </c>
    </row>
    <row r="7" spans="1:3" x14ac:dyDescent="0.3">
      <c r="A7" s="53" t="str">
        <f>INDEX(SharedParams[Name],ROW(B6))</f>
        <v>DPP_AUT_Manufacturer</v>
      </c>
      <c r="B7" s="53" t="str">
        <f>IFERROR(
   VLOOKUP(
      INDEX('Manual workflow'!$B$2:$B$200,
             MATCH($A7,'Manual workflow'!$A$2:$A$200,0)
      ),
      'Built In Parameter groups'!$A$2:$C$200,
      2,
      FALSE
   ),
"")</f>
        <v>IdentityData</v>
      </c>
      <c r="C7" s="53" t="str">
        <f>IFERROR(
   IF(
      VLOOKUP(
         INDEX('Shared parameters'!$A$2:$A$200,
                MATCH($A7,'Shared parameters'!$B$2:$B$200,0)
         ),
         'Parameter Categories'!$B$2:$G$200,
         6,
         FALSE
      )="x",
      "No",
      IF(
         VLOOKUP(
            INDEX('Shared parameters'!$A$2:$A$200,
                   MATCH($A7,'Shared parameters'!$B$2:$B$200,0)
            ),
            'Parameter Categories'!$B$2:$G$200,
            5,
            FALSE
         )="x",
         "Yes",
         ""
      )
   ),
"")</f>
        <v>No</v>
      </c>
    </row>
    <row r="8" spans="1:3" x14ac:dyDescent="0.3">
      <c r="A8" s="53" t="str">
        <f>INDEX(SharedParams[Name],ROW(B7))</f>
        <v>DPP_AUT_Manufacturer_URL</v>
      </c>
      <c r="B8" s="53" t="str">
        <f>IFERROR(
   VLOOKUP(
      INDEX('Manual workflow'!$B$2:$B$200,
             MATCH($A8,'Manual workflow'!$A$2:$A$200,0)
      ),
      'Built In Parameter groups'!$A$2:$C$200,
      2,
      FALSE
   ),
"")</f>
        <v>IdentityData</v>
      </c>
      <c r="C8" s="53" t="str">
        <f>IFERROR(
   IF(
      VLOOKUP(
         INDEX('Shared parameters'!$A$2:$A$200,
                MATCH($A8,'Shared parameters'!$B$2:$B$200,0)
         ),
         'Parameter Categories'!$B$2:$G$200,
         6,
         FALSE
      )="x",
      "No",
      IF(
         VLOOKUP(
            INDEX('Shared parameters'!$A$2:$A$200,
                   MATCH($A8,'Shared parameters'!$B$2:$B$200,0)
            ),
            'Parameter Categories'!$B$2:$G$200,
            5,
            FALSE
         )="x",
         "Yes",
         ""
      )
   ),
"")</f>
        <v>No</v>
      </c>
    </row>
    <row r="9" spans="1:3" x14ac:dyDescent="0.3">
      <c r="A9" s="53" t="str">
        <f>INDEX(SharedParams[Name],ROW(B8))</f>
        <v>DPP_AUT_Distribuitor</v>
      </c>
      <c r="B9" s="53" t="str">
        <f>IFERROR(
   VLOOKUP(
      INDEX('Manual workflow'!$B$2:$B$200,
             MATCH($A9,'Manual workflow'!$A$2:$A$200,0)
      ),
      'Built In Parameter groups'!$A$2:$C$200,
      2,
      FALSE
   ),
"")</f>
        <v>IdentityData</v>
      </c>
      <c r="C9" s="53" t="str">
        <f>IFERROR(
   IF(
      VLOOKUP(
         INDEX('Shared parameters'!$A$2:$A$200,
                MATCH($A9,'Shared parameters'!$B$2:$B$200,0)
         ),
         'Parameter Categories'!$B$2:$G$200,
         6,
         FALSE
      )="x",
      "No",
      IF(
         VLOOKUP(
            INDEX('Shared parameters'!$A$2:$A$200,
                   MATCH($A9,'Shared parameters'!$B$2:$B$200,0)
            ),
            'Parameter Categories'!$B$2:$G$200,
            5,
            FALSE
         )="x",
         "Yes",
         ""
      )
   ),
"")</f>
        <v>Yes</v>
      </c>
    </row>
    <row r="10" spans="1:3" x14ac:dyDescent="0.3">
      <c r="A10" s="53" t="str">
        <f>INDEX(SharedParams[Name],ROW(B9))</f>
        <v>DPP_AUT_Distribuitor_URL</v>
      </c>
      <c r="B10" s="53" t="str">
        <f>IFERROR(
   VLOOKUP(
      INDEX('Manual workflow'!$B$2:$B$200,
             MATCH($A10,'Manual workflow'!$A$2:$A$200,0)
      ),
      'Built In Parameter groups'!$A$2:$C$200,
      2,
      FALSE
   ),
"")</f>
        <v>IdentityData</v>
      </c>
      <c r="C10" s="53" t="str">
        <f>IFERROR(
   IF(
      VLOOKUP(
         INDEX('Shared parameters'!$A$2:$A$200,
                MATCH($A10,'Shared parameters'!$B$2:$B$200,0)
         ),
         'Parameter Categories'!$B$2:$G$200,
         6,
         FALSE
      )="x",
      "No",
      IF(
         VLOOKUP(
            INDEX('Shared parameters'!$A$2:$A$200,
                   MATCH($A10,'Shared parameters'!$B$2:$B$200,0)
            ),
            'Parameter Categories'!$B$2:$G$200,
            5,
            FALSE
         )="x",
         "Yes",
         ""
      )
   ),
"")</f>
        <v>Yes</v>
      </c>
    </row>
    <row r="11" spans="1:3" x14ac:dyDescent="0.3">
      <c r="A11" s="53" t="str">
        <f>INDEX(SharedParams[Name],ROW(B10))</f>
        <v>DPP_AUR_Supplier</v>
      </c>
      <c r="B11" s="53" t="str">
        <f>IFERROR(
   VLOOKUP(
      INDEX('Manual workflow'!$B$2:$B$200,
             MATCH($A11,'Manual workflow'!$A$2:$A$200,0)
      ),
      'Built In Parameter groups'!$A$2:$C$200,
      2,
      FALSE
   ),
"")</f>
        <v>IdentityData</v>
      </c>
      <c r="C11" s="53" t="str">
        <f>IFERROR(
   IF(
      VLOOKUP(
         INDEX('Shared parameters'!$A$2:$A$200,
                MATCH($A11,'Shared parameters'!$B$2:$B$200,0)
         ),
         'Parameter Categories'!$B$2:$G$200,
         6,
         FALSE
      )="x",
      "No",
      IF(
         VLOOKUP(
            INDEX('Shared parameters'!$A$2:$A$200,
                   MATCH($A11,'Shared parameters'!$B$2:$B$200,0)
            ),
            'Parameter Categories'!$B$2:$G$200,
            5,
            FALSE
         )="x",
         "Yes",
         ""
      )
   ),
"")</f>
        <v>Yes</v>
      </c>
    </row>
    <row r="12" spans="1:3" x14ac:dyDescent="0.3">
      <c r="A12" s="53" t="str">
        <f>INDEX(SharedParams[Name],ROW(B11))</f>
        <v>DPP_AUR_Supplier_URL</v>
      </c>
      <c r="B12" s="53" t="str">
        <f>IFERROR(
   VLOOKUP(
      INDEX('Manual workflow'!$B$2:$B$200,
             MATCH($A12,'Manual workflow'!$A$2:$A$200,0)
      ),
      'Built In Parameter groups'!$A$2:$C$200,
      2,
      FALSE
   ),
"")</f>
        <v>IdentityData</v>
      </c>
      <c r="C12" s="53" t="str">
        <f>IFERROR(
   IF(
      VLOOKUP(
         INDEX('Shared parameters'!$A$2:$A$200,
                MATCH($A12,'Shared parameters'!$B$2:$B$200,0)
         ),
         'Parameter Categories'!$B$2:$G$200,
         6,
         FALSE
      )="x",
      "No",
      IF(
         VLOOKUP(
            INDEX('Shared parameters'!$A$2:$A$200,
                   MATCH($A12,'Shared parameters'!$B$2:$B$200,0)
            ),
            'Parameter Categories'!$B$2:$G$200,
            5,
            FALSE
         )="x",
         "Yes",
         ""
      )
   ),
"")</f>
        <v>Yes</v>
      </c>
    </row>
    <row r="13" spans="1:3" x14ac:dyDescent="0.3">
      <c r="A13" s="53" t="str">
        <f>INDEX(SharedParams[Name],ROW(B12))</f>
        <v>DPP_AUT_TransRoute</v>
      </c>
      <c r="B13" s="53" t="str">
        <f>IFERROR(
   VLOOKUP(
      INDEX('Manual workflow'!$B$2:$B$200,
             MATCH($A13,'Manual workflow'!$A$2:$A$200,0)
      ),
      'Built In Parameter groups'!$A$2:$C$200,
      2,
      FALSE
   ),
"")</f>
        <v>IdentityData</v>
      </c>
      <c r="C13" s="53" t="str">
        <f>IFERROR(
   IF(
      VLOOKUP(
         INDEX('Shared parameters'!$A$2:$A$200,
                MATCH($A13,'Shared parameters'!$B$2:$B$200,0)
         ),
         'Parameter Categories'!$B$2:$G$200,
         6,
         FALSE
      )="x",
      "No",
      IF(
         VLOOKUP(
            INDEX('Shared parameters'!$A$2:$A$200,
                   MATCH($A13,'Shared parameters'!$B$2:$B$200,0)
            ),
            'Parameter Categories'!$B$2:$G$200,
            5,
            FALSE
         )="x",
         "Yes",
         ""
      )
   ),
"")</f>
        <v>Yes</v>
      </c>
    </row>
    <row r="14" spans="1:3" x14ac:dyDescent="0.3">
      <c r="A14" s="53" t="str">
        <f>INDEX(SharedParams[Name],ROW(B13))</f>
        <v>DPP_AUT_Traceability</v>
      </c>
      <c r="B14" s="53" t="str">
        <f>IFERROR(
   VLOOKUP(
      INDEX('Manual workflow'!$B$2:$B$200,
             MATCH($A14,'Manual workflow'!$A$2:$A$200,0)
      ),
      'Built In Parameter groups'!$A$2:$C$200,
      2,
      FALSE
   ),
"")</f>
        <v>IdentityData</v>
      </c>
      <c r="C14" s="53" t="str">
        <f>IFERROR(
   IF(
      VLOOKUP(
         INDEX('Shared parameters'!$A$2:$A$200,
                MATCH($A14,'Shared parameters'!$B$2:$B$200,0)
         ),
         'Parameter Categories'!$B$2:$G$200,
         6,
         FALSE
      )="x",
      "No",
      IF(
         VLOOKUP(
            INDEX('Shared parameters'!$A$2:$A$200,
                   MATCH($A14,'Shared parameters'!$B$2:$B$200,0)
            ),
            'Parameter Categories'!$B$2:$G$200,
            5,
            FALSE
         )="x",
         "Yes",
         ""
      )
   ),
"")</f>
        <v>No</v>
      </c>
    </row>
    <row r="15" spans="1:3" x14ac:dyDescent="0.3">
      <c r="A15" s="53" t="str">
        <f>INDEX(SharedParams[Name],ROW(B14))</f>
        <v>DPP_AUT_Origin</v>
      </c>
      <c r="B15" s="53" t="str">
        <f>IFERROR(
   VLOOKUP(
      INDEX('Manual workflow'!$B$2:$B$200,
             MATCH($A15,'Manual workflow'!$A$2:$A$200,0)
      ),
      'Built In Parameter groups'!$A$2:$C$200,
      2,
      FALSE
   ),
"")</f>
        <v>IdentityData</v>
      </c>
      <c r="C15" s="53" t="str">
        <f>IFERROR(
   IF(
      VLOOKUP(
         INDEX('Shared parameters'!$A$2:$A$200,
                MATCH($A15,'Shared parameters'!$B$2:$B$200,0)
         ),
         'Parameter Categories'!$B$2:$G$200,
         6,
         FALSE
      )="x",
      "No",
      IF(
         VLOOKUP(
            INDEX('Shared parameters'!$A$2:$A$200,
                   MATCH($A15,'Shared parameters'!$B$2:$B$200,0)
            ),
            'Parameter Categories'!$B$2:$G$200,
            5,
            FALSE
         )="x",
         "Yes",
         ""
      )
   ),
"")</f>
        <v>No</v>
      </c>
    </row>
    <row r="16" spans="1:3" x14ac:dyDescent="0.3">
      <c r="A16" s="53" t="str">
        <f>INDEX(SharedParams[Name],ROW(B15))</f>
        <v>DPP_AUT_Version</v>
      </c>
      <c r="B16" s="53" t="str">
        <f>IFERROR(
   VLOOKUP(
      INDEX('Manual workflow'!$B$2:$B$200,
             MATCH($A16,'Manual workflow'!$A$2:$A$200,0)
      ),
      'Built In Parameter groups'!$A$2:$C$200,
      2,
      FALSE
   ),
"")</f>
        <v>IdentityData</v>
      </c>
      <c r="C16" s="53" t="str">
        <f>IFERROR(
   IF(
      VLOOKUP(
         INDEX('Shared parameters'!$A$2:$A$200,
                MATCH($A16,'Shared parameters'!$B$2:$B$200,0)
         ),
         'Parameter Categories'!$B$2:$G$200,
         6,
         FALSE
      )="x",
      "No",
      IF(
         VLOOKUP(
            INDEX('Shared parameters'!$A$2:$A$200,
                   MATCH($A16,'Shared parameters'!$B$2:$B$200,0)
            ),
            'Parameter Categories'!$B$2:$G$200,
            5,
            FALSE
         )="x",
         "Yes",
         ""
      )
   ),
"")</f>
        <v>No</v>
      </c>
    </row>
    <row r="17" spans="1:3" x14ac:dyDescent="0.3">
      <c r="A17" s="53" t="str">
        <f>INDEX(SharedParams[Name],ROW(B16))</f>
        <v>DPP_MAT_Material</v>
      </c>
      <c r="B17" s="53" t="str">
        <f>IFERROR(
   VLOOKUP(
      INDEX('Manual workflow'!$B$2:$B$200,
             MATCH($A17,'Manual workflow'!$A$2:$A$200,0)
      ),
      'Built In Parameter groups'!$A$2:$C$200,
      2,
      FALSE
   ),
"")</f>
        <v>Materials</v>
      </c>
      <c r="C17" s="53" t="str">
        <f>IFERROR(
   IF(
      VLOOKUP(
         INDEX('Shared parameters'!$A$2:$A$200,
                MATCH($A17,'Shared parameters'!$B$2:$B$200,0)
         ),
         'Parameter Categories'!$B$2:$G$200,
         6,
         FALSE
      )="x",
      "No",
      IF(
         VLOOKUP(
            INDEX('Shared parameters'!$A$2:$A$200,
                   MATCH($A17,'Shared parameters'!$B$2:$B$200,0)
            ),
            'Parameter Categories'!$B$2:$G$200,
            5,
            FALSE
         )="x",
         "Yes",
         ""
      )
   ),
"")</f>
        <v>Yes</v>
      </c>
    </row>
    <row r="18" spans="1:3" x14ac:dyDescent="0.3">
      <c r="A18" s="53" t="str">
        <f>INDEX(SharedParams[Name],ROW(B17))</f>
        <v>DPP_MAT_Components</v>
      </c>
      <c r="B18" s="53" t="str">
        <f>IFERROR(
   VLOOKUP(
      INDEX('Manual workflow'!$B$2:$B$200,
             MATCH($A18,'Manual workflow'!$A$2:$A$200,0)
      ),
      'Built In Parameter groups'!$A$2:$C$200,
      2,
      FALSE
   ),
"")</f>
        <v>Materials</v>
      </c>
      <c r="C18" s="53" t="str">
        <f>IFERROR(
   IF(
      VLOOKUP(
         INDEX('Shared parameters'!$A$2:$A$200,
                MATCH($A18,'Shared parameters'!$B$2:$B$200,0)
         ),
         'Parameter Categories'!$B$2:$G$200,
         6,
         FALSE
      )="x",
      "No",
      IF(
         VLOOKUP(
            INDEX('Shared parameters'!$A$2:$A$200,
                   MATCH($A18,'Shared parameters'!$B$2:$B$200,0)
            ),
            'Parameter Categories'!$B$2:$G$200,
            5,
            FALSE
         )="x",
         "Yes",
         ""
      )
   ),
"")</f>
        <v>No</v>
      </c>
    </row>
    <row r="19" spans="1:3" x14ac:dyDescent="0.3">
      <c r="A19" s="53" t="str">
        <f>INDEX(SharedParams[Name],ROW(B18))</f>
        <v>DPP_MAT_Composition</v>
      </c>
      <c r="B19" s="53" t="str">
        <f>IFERROR(
   VLOOKUP(
      INDEX('Manual workflow'!$B$2:$B$200,
             MATCH($A19,'Manual workflow'!$A$2:$A$200,0)
      ),
      'Built In Parameter groups'!$A$2:$C$200,
      2,
      FALSE
   ),
"")</f>
        <v>Materials</v>
      </c>
      <c r="C19" s="53" t="str">
        <f>IFERROR(
   IF(
      VLOOKUP(
         INDEX('Shared parameters'!$A$2:$A$200,
                MATCH($A19,'Shared parameters'!$B$2:$B$200,0)
         ),
         'Parameter Categories'!$B$2:$G$200,
         6,
         FALSE
      )="x",
      "No",
      IF(
         VLOOKUP(
            INDEX('Shared parameters'!$A$2:$A$200,
                   MATCH($A19,'Shared parameters'!$B$2:$B$200,0)
            ),
            'Parameter Categories'!$B$2:$G$200,
            5,
            FALSE
         )="x",
         "Yes",
         ""
      )
   ),
"")</f>
        <v>No</v>
      </c>
    </row>
    <row r="20" spans="1:3" x14ac:dyDescent="0.3">
      <c r="A20" s="53" t="str">
        <f>INDEX(SharedParams[Name],ROW(B19))</f>
        <v>DPP_AUT_TypeDimension</v>
      </c>
      <c r="B20" s="53" t="str">
        <f>IFERROR(
   VLOOKUP(
      INDEX('Manual workflow'!$B$2:$B$200,
             MATCH($A20,'Manual workflow'!$A$2:$A$200,0)
      ),
      'Built In Parameter groups'!$A$2:$C$200,
      2,
      FALSE
   ),
"")</f>
        <v>Materials</v>
      </c>
      <c r="C20" s="53" t="str">
        <f>IFERROR(
   IF(
      VLOOKUP(
         INDEX('Shared parameters'!$A$2:$A$200,
                MATCH($A20,'Shared parameters'!$B$2:$B$200,0)
         ),
         'Parameter Categories'!$B$2:$G$200,
         6,
         FALSE
      )="x",
      "No",
      IF(
         VLOOKUP(
            INDEX('Shared parameters'!$A$2:$A$200,
                   MATCH($A20,'Shared parameters'!$B$2:$B$200,0)
            ),
            'Parameter Categories'!$B$2:$G$200,
            5,
            FALSE
         )="x",
         "Yes",
         ""
      )
   ),
"")</f>
        <v>No</v>
      </c>
    </row>
    <row r="21" spans="1:3" x14ac:dyDescent="0.3">
      <c r="A21" s="53" t="str">
        <f>INDEX(SharedParams[Name],ROW(B20))</f>
        <v>DPP_DIM_Height_mm</v>
      </c>
      <c r="B21" s="53" t="str">
        <f>IFERROR(
   VLOOKUP(
      INDEX('Manual workflow'!$B$2:$B$200,
             MATCH($A21,'Manual workflow'!$A$2:$A$200,0)
      ),
      'Built In Parameter groups'!$A$2:$C$200,
      2,
      FALSE
   ),
"")</f>
        <v>Geometry</v>
      </c>
      <c r="C21" s="53" t="str">
        <f>IFERROR(
   IF(
      VLOOKUP(
         INDEX('Shared parameters'!$A$2:$A$200,
                MATCH($A21,'Shared parameters'!$B$2:$B$200,0)
         ),
         'Parameter Categories'!$B$2:$G$200,
         6,
         FALSE
      )="x",
      "No",
      IF(
         VLOOKUP(
            INDEX('Shared parameters'!$A$2:$A$200,
                   MATCH($A21,'Shared parameters'!$B$2:$B$200,0)
            ),
            'Parameter Categories'!$B$2:$G$200,
            5,
            FALSE
         )="x",
         "Yes",
         ""
      )
   ),
"")</f>
        <v>No</v>
      </c>
    </row>
    <row r="22" spans="1:3" x14ac:dyDescent="0.3">
      <c r="A22" s="53" t="str">
        <f>INDEX(SharedParams[Name],ROW(B21))</f>
        <v>DPP_DIM_Length_mm</v>
      </c>
      <c r="B22" s="53" t="str">
        <f>IFERROR(
   VLOOKUP(
      INDEX('Manual workflow'!$B$2:$B$200,
             MATCH($A22,'Manual workflow'!$A$2:$A$200,0)
      ),
      'Built In Parameter groups'!$A$2:$C$200,
      2,
      FALSE
   ),
"")</f>
        <v>Geometry</v>
      </c>
      <c r="C22" s="53" t="str">
        <f>IFERROR(
   IF(
      VLOOKUP(
         INDEX('Shared parameters'!$A$2:$A$200,
                MATCH($A22,'Shared parameters'!$B$2:$B$200,0)
         ),
         'Parameter Categories'!$B$2:$G$200,
         6,
         FALSE
      )="x",
      "No",
      IF(
         VLOOKUP(
            INDEX('Shared parameters'!$A$2:$A$200,
                   MATCH($A22,'Shared parameters'!$B$2:$B$200,0)
            ),
            'Parameter Categories'!$B$2:$G$200,
            5,
            FALSE
         )="x",
         "Yes",
         ""
      )
   ),
"")</f>
        <v>No</v>
      </c>
    </row>
    <row r="23" spans="1:3" x14ac:dyDescent="0.3">
      <c r="A23" s="53" t="str">
        <f>INDEX(SharedParams[Name],ROW(B22))</f>
        <v>DPP_DIM_Width_mm</v>
      </c>
      <c r="B23" s="53" t="str">
        <f>IFERROR(
   VLOOKUP(
      INDEX('Manual workflow'!$B$2:$B$200,
             MATCH($A23,'Manual workflow'!$A$2:$A$200,0)
      ),
      'Built In Parameter groups'!$A$2:$C$200,
      2,
      FALSE
   ),
"")</f>
        <v>Geometry</v>
      </c>
      <c r="C23" s="53" t="str">
        <f>IFERROR(
   IF(
      VLOOKUP(
         INDEX('Shared parameters'!$A$2:$A$200,
                MATCH($A23,'Shared parameters'!$B$2:$B$200,0)
         ),
         'Parameter Categories'!$B$2:$G$200,
         6,
         FALSE
      )="x",
      "No",
      IF(
         VLOOKUP(
            INDEX('Shared parameters'!$A$2:$A$200,
                   MATCH($A23,'Shared parameters'!$B$2:$B$200,0)
            ),
            'Parameter Categories'!$B$2:$G$200,
            5,
            FALSE
         )="x",
         "Yes",
         ""
      )
   ),
"")</f>
        <v>No</v>
      </c>
    </row>
    <row r="24" spans="1:3" x14ac:dyDescent="0.3">
      <c r="A24" s="53" t="str">
        <f>INDEX(SharedParams[Name],ROW(B23))</f>
        <v>DPP_DIM_Volume_m3</v>
      </c>
      <c r="B24" s="53" t="str">
        <f>IFERROR(
   VLOOKUP(
      INDEX('Manual workflow'!$B$2:$B$200,
             MATCH($A24,'Manual workflow'!$A$2:$A$200,0)
      ),
      'Built In Parameter groups'!$A$2:$C$200,
      2,
      FALSE
   ),
"")</f>
        <v>Geometry</v>
      </c>
      <c r="C24" s="53" t="str">
        <f>IFERROR(
   IF(
      VLOOKUP(
         INDEX('Shared parameters'!$A$2:$A$200,
                MATCH($A24,'Shared parameters'!$B$2:$B$200,0)
         ),
         'Parameter Categories'!$B$2:$G$200,
         6,
         FALSE
      )="x",
      "No",
      IF(
         VLOOKUP(
            INDEX('Shared parameters'!$A$2:$A$200,
                   MATCH($A24,'Shared parameters'!$B$2:$B$200,0)
            ),
            'Parameter Categories'!$B$2:$G$200,
            5,
            FALSE
         )="x",
         "Yes",
         ""
      )
   ),
"")</f>
        <v>No</v>
      </c>
    </row>
    <row r="25" spans="1:3" x14ac:dyDescent="0.3">
      <c r="A25" s="53" t="str">
        <f>INDEX(SharedParams[Name],ROW(B24))</f>
        <v>DPP_DAT_DryDensity_kgm3</v>
      </c>
      <c r="B25" s="53" t="str">
        <f>IFERROR(
   VLOOKUP(
      INDEX('Manual workflow'!$B$2:$B$200,
             MATCH($A25,'Manual workflow'!$A$2:$A$200,0)
      ),
      'Built In Parameter groups'!$A$2:$C$200,
      2,
      FALSE
   ),
"")</f>
        <v>Geometry</v>
      </c>
      <c r="C25" s="53" t="str">
        <f>IFERROR(
   IF(
      VLOOKUP(
         INDEX('Shared parameters'!$A$2:$A$200,
                MATCH($A25,'Shared parameters'!$B$2:$B$200,0)
         ),
         'Parameter Categories'!$B$2:$G$200,
         6,
         FALSE
      )="x",
      "No",
      IF(
         VLOOKUP(
            INDEX('Shared parameters'!$A$2:$A$200,
                   MATCH($A25,'Shared parameters'!$B$2:$B$200,0)
            ),
            'Parameter Categories'!$B$2:$G$200,
            5,
            FALSE
         )="x",
         "Yes",
         ""
      )
   ),
"")</f>
        <v>No</v>
      </c>
    </row>
    <row r="26" spans="1:3" x14ac:dyDescent="0.3">
      <c r="A26" s="53" t="str">
        <f>INDEX(SharedParams[Name],ROW(B25))</f>
        <v>DPP_DAT_EqDensity_kgm3</v>
      </c>
      <c r="B26" s="53" t="str">
        <f>IFERROR(
   VLOOKUP(
      INDEX('Manual workflow'!$B$2:$B$200,
             MATCH($A26,'Manual workflow'!$A$2:$A$200,0)
      ),
      'Built In Parameter groups'!$A$2:$C$200,
      2,
      FALSE
   ),
"")</f>
        <v>Geometry</v>
      </c>
      <c r="C26" s="53" t="str">
        <f>IFERROR(
   IF(
      VLOOKUP(
         INDEX('Shared parameters'!$A$2:$A$200,
                MATCH($A26,'Shared parameters'!$B$2:$B$200,0)
         ),
         'Parameter Categories'!$B$2:$G$200,
         6,
         FALSE
      )="x",
      "No",
      IF(
         VLOOKUP(
            INDEX('Shared parameters'!$A$2:$A$200,
                   MATCH($A26,'Shared parameters'!$B$2:$B$200,0)
            ),
            'Parameter Categories'!$B$2:$G$200,
            5,
            FALSE
         )="x",
         "Yes",
         ""
      )
   ),
"")</f>
        <v>No</v>
      </c>
    </row>
    <row r="27" spans="1:3" x14ac:dyDescent="0.3">
      <c r="A27" s="53" t="str">
        <f>INDEX(SharedParams[Name],ROW(B26))</f>
        <v>DPP_DAT_Weight_kg</v>
      </c>
      <c r="B27" s="53" t="str">
        <f>IFERROR(
   VLOOKUP(
      INDEX('Manual workflow'!$B$2:$B$200,
             MATCH($A27,'Manual workflow'!$A$2:$A$200,0)
      ),
      'Built In Parameter groups'!$A$2:$C$200,
      2,
      FALSE
   ),
"")</f>
        <v>Geometry</v>
      </c>
      <c r="C27" s="53" t="str">
        <f>IFERROR(
   IF(
      VLOOKUP(
         INDEX('Shared parameters'!$A$2:$A$200,
                MATCH($A27,'Shared parameters'!$B$2:$B$200,0)
         ),
         'Parameter Categories'!$B$2:$G$200,
         6,
         FALSE
      )="x",
      "No",
      IF(
         VLOOKUP(
            INDEX('Shared parameters'!$A$2:$A$200,
                   MATCH($A27,'Shared parameters'!$B$2:$B$200,0)
            ),
            'Parameter Categories'!$B$2:$G$200,
            5,
            FALSE
         )="x",
         "Yes",
         ""
      )
   ),
"")</f>
        <v>No</v>
      </c>
    </row>
    <row r="28" spans="1:3" x14ac:dyDescent="0.3">
      <c r="A28" s="53" t="str">
        <f>INDEX(SharedParams[Name],ROW(B27))</f>
        <v>DPP_DAT_CompressiveStrenght_Mpa</v>
      </c>
      <c r="B28" s="53" t="str">
        <f>IFERROR(
   VLOOKUP(
      INDEX('Manual workflow'!$B$2:$B$200,
             MATCH($A28,'Manual workflow'!$A$2:$A$200,0)
      ),
      'Built In Parameter groups'!$A$2:$C$200,
      2,
      FALSE
   ),
"")</f>
        <v>Structural</v>
      </c>
      <c r="C28" s="53" t="str">
        <f>IFERROR(
   IF(
      VLOOKUP(
         INDEX('Shared parameters'!$A$2:$A$200,
                MATCH($A28,'Shared parameters'!$B$2:$B$200,0)
         ),
         'Parameter Categories'!$B$2:$G$200,
         6,
         FALSE
      )="x",
      "No",
      IF(
         VLOOKUP(
            INDEX('Shared parameters'!$A$2:$A$200,
                   MATCH($A28,'Shared parameters'!$B$2:$B$200,0)
            ),
            'Parameter Categories'!$B$2:$G$200,
            5,
            FALSE
         )="x",
         "Yes",
         ""
      )
   ),
"")</f>
        <v>No</v>
      </c>
    </row>
    <row r="29" spans="1:3" x14ac:dyDescent="0.3">
      <c r="A29" s="53" t="str">
        <f>INDEX(SharedParams[Name],ROW(B28))</f>
        <v>DPP_DAT_ShearStrenght_Mpa</v>
      </c>
      <c r="B29" s="53" t="str">
        <f>IFERROR(
   VLOOKUP(
      INDEX('Manual workflow'!$B$2:$B$200,
             MATCH($A29,'Manual workflow'!$A$2:$A$200,0)
      ),
      'Built In Parameter groups'!$A$2:$C$200,
      2,
      FALSE
   ),
"")</f>
        <v>Structural</v>
      </c>
      <c r="C29" s="53" t="str">
        <f>IFERROR(
   IF(
      VLOOKUP(
         INDEX('Shared parameters'!$A$2:$A$200,
                MATCH($A29,'Shared parameters'!$B$2:$B$200,0)
         ),
         'Parameter Categories'!$B$2:$G$200,
         6,
         FALSE
      )="x",
      "No",
      IF(
         VLOOKUP(
            INDEX('Shared parameters'!$A$2:$A$200,
                   MATCH($A29,'Shared parameters'!$B$2:$B$200,0)
            ),
            'Parameter Categories'!$B$2:$G$200,
            5,
            FALSE
         )="x",
         "Yes",
         ""
      )
   ),
"")</f>
        <v>No</v>
      </c>
    </row>
    <row r="30" spans="1:3" x14ac:dyDescent="0.3">
      <c r="A30" s="53" t="str">
        <f>INDEX(SharedParams[Name],ROW(B29))</f>
        <v>DPP_DAT_ThermalConductivity_WmK</v>
      </c>
      <c r="B30" s="53" t="str">
        <f>IFERROR(
   VLOOKUP(
      INDEX('Manual workflow'!$B$2:$B$200,
             MATCH($A30,'Manual workflow'!$A$2:$A$200,0)
      ),
      'Built In Parameter groups'!$A$2:$C$200,
      2,
      FALSE
   ),
"")</f>
        <v>EnergyAnalysis</v>
      </c>
      <c r="C30" s="53" t="str">
        <f>IFERROR(
   IF(
      VLOOKUP(
         INDEX('Shared parameters'!$A$2:$A$200,
                MATCH($A30,'Shared parameters'!$B$2:$B$200,0)
         ),
         'Parameter Categories'!$B$2:$G$200,
         6,
         FALSE
      )="x",
      "No",
      IF(
         VLOOKUP(
            INDEX('Shared parameters'!$A$2:$A$200,
                   MATCH($A30,'Shared parameters'!$B$2:$B$200,0)
            ),
            'Parameter Categories'!$B$2:$G$200,
            5,
            FALSE
         )="x",
         "Yes",
         ""
      )
   ),
"")</f>
        <v>No</v>
      </c>
    </row>
    <row r="31" spans="1:3" x14ac:dyDescent="0.3">
      <c r="A31" s="53" t="str">
        <f>INDEX(SharedParams[Name],ROW(B30))</f>
        <v>DPP_DAT_Uvalue_Wm2K</v>
      </c>
      <c r="B31" s="53" t="str">
        <f>IFERROR(
   VLOOKUP(
      INDEX('Manual workflow'!$B$2:$B$200,
             MATCH($A31,'Manual workflow'!$A$2:$A$200,0)
      ),
      'Built In Parameter groups'!$A$2:$C$200,
      2,
      FALSE
   ),
"")</f>
        <v>EnergyAnalysis</v>
      </c>
      <c r="C31" s="53" t="str">
        <f>IFERROR(
   IF(
      VLOOKUP(
         INDEX('Shared parameters'!$A$2:$A$200,
                MATCH($A31,'Shared parameters'!$B$2:$B$200,0)
         ),
         'Parameter Categories'!$B$2:$G$200,
         6,
         FALSE
      )="x",
      "No",
      IF(
         VLOOKUP(
            INDEX('Shared parameters'!$A$2:$A$200,
                   MATCH($A31,'Shared parameters'!$B$2:$B$200,0)
            ),
            'Parameter Categories'!$B$2:$G$200,
            5,
            FALSE
         )="x",
         "Yes",
         ""
      )
   ),
"")</f>
        <v>No</v>
      </c>
    </row>
    <row r="32" spans="1:3" x14ac:dyDescent="0.3">
      <c r="A32" s="53" t="str">
        <f>INDEX(SharedParams[Name],ROW(B31))</f>
        <v>DPP_DAT_SpeHeatCap_JkgK</v>
      </c>
      <c r="B32" s="53" t="str">
        <f>IFERROR(
   VLOOKUP(
      INDEX('Manual workflow'!$B$2:$B$200,
             MATCH($A32,'Manual workflow'!$A$2:$A$200,0)
      ),
      'Built In Parameter groups'!$A$2:$C$200,
      2,
      FALSE
   ),
"")</f>
        <v>EnergyAnalysis</v>
      </c>
      <c r="C32" s="53" t="str">
        <f>IFERROR(
   IF(
      VLOOKUP(
         INDEX('Shared parameters'!$A$2:$A$200,
                MATCH($A32,'Shared parameters'!$B$2:$B$200,0)
         ),
         'Parameter Categories'!$B$2:$G$200,
         6,
         FALSE
      )="x",
      "No",
      IF(
         VLOOKUP(
            INDEX('Shared parameters'!$A$2:$A$200,
                   MATCH($A32,'Shared parameters'!$B$2:$B$200,0)
            ),
            'Parameter Categories'!$B$2:$G$200,
            5,
            FALSE
         )="x",
         "Yes",
         ""
      )
   ),
"")</f>
        <v>No</v>
      </c>
    </row>
    <row r="33" spans="1:3" x14ac:dyDescent="0.3">
      <c r="A33" s="53" t="str">
        <f>INDEX(SharedParams[Name],ROW(B32))</f>
        <v>DPP_DAT_PhaseShift_Hours</v>
      </c>
      <c r="B33" s="53" t="str">
        <f>IFERROR(
   VLOOKUP(
      INDEX('Manual workflow'!$B$2:$B$200,
             MATCH($A33,'Manual workflow'!$A$2:$A$200,0)
      ),
      'Built In Parameter groups'!$A$2:$C$200,
      2,
      FALSE
   ),
"")</f>
        <v>EnergyAnalysis</v>
      </c>
      <c r="C33" s="53" t="str">
        <f>IFERROR(
   IF(
      VLOOKUP(
         INDEX('Shared parameters'!$A$2:$A$200,
                MATCH($A33,'Shared parameters'!$B$2:$B$200,0)
         ),
         'Parameter Categories'!$B$2:$G$200,
         6,
         FALSE
      )="x",
      "No",
      IF(
         VLOOKUP(
            INDEX('Shared parameters'!$A$2:$A$200,
                   MATCH($A33,'Shared parameters'!$B$2:$B$200,0)
            ),
            'Parameter Categories'!$B$2:$G$200,
            5,
            FALSE
         )="x",
         "Yes",
         ""
      )
   ),
"")</f>
        <v>No</v>
      </c>
    </row>
    <row r="34" spans="1:3" x14ac:dyDescent="0.3">
      <c r="A34" s="53" t="str">
        <f>INDEX(SharedParams[Name],ROW(B33))</f>
        <v>DPP_DAT_MoistureBuffer_m2%HR</v>
      </c>
      <c r="B34" s="53" t="str">
        <f>IFERROR(
   VLOOKUP(
      INDEX('Manual workflow'!$B$2:$B$200,
             MATCH($A34,'Manual workflow'!$A$2:$A$200,0)
      ),
      'Built In Parameter groups'!$A$2:$C$200,
      2,
      FALSE
   ),
"")</f>
        <v>General</v>
      </c>
      <c r="C34" s="53" t="str">
        <f>IFERROR(
   IF(
      VLOOKUP(
         INDEX('Shared parameters'!$A$2:$A$200,
                MATCH($A34,'Shared parameters'!$B$2:$B$200,0)
         ),
         'Parameter Categories'!$B$2:$G$200,
         6,
         FALSE
      )="x",
      "No",
      IF(
         VLOOKUP(
            INDEX('Shared parameters'!$A$2:$A$200,
                   MATCH($A34,'Shared parameters'!$B$2:$B$200,0)
            ),
            'Parameter Categories'!$B$2:$G$200,
            5,
            FALSE
         )="x",
         "Yes",
         ""
      )
   ),
"")</f>
        <v>No</v>
      </c>
    </row>
    <row r="35" spans="1:3" x14ac:dyDescent="0.3">
      <c r="A35" s="53" t="str">
        <f>INDEX(SharedParams[Name],ROW(B34))</f>
        <v>DPP_DAT_VaporDiffμ_wet</v>
      </c>
      <c r="B35" s="53" t="str">
        <f>IFERROR(
   VLOOKUP(
      INDEX('Manual workflow'!$B$2:$B$200,
             MATCH($A35,'Manual workflow'!$A$2:$A$200,0)
      ),
      'Built In Parameter groups'!$A$2:$C$200,
      2,
      FALSE
   ),
"")</f>
        <v>General</v>
      </c>
      <c r="C35" s="53" t="str">
        <f>IFERROR(
   IF(
      VLOOKUP(
         INDEX('Shared parameters'!$A$2:$A$200,
                MATCH($A35,'Shared parameters'!$B$2:$B$200,0)
         ),
         'Parameter Categories'!$B$2:$G$200,
         6,
         FALSE
      )="x",
      "No",
      IF(
         VLOOKUP(
            INDEX('Shared parameters'!$A$2:$A$200,
                   MATCH($A35,'Shared parameters'!$B$2:$B$200,0)
            ),
            'Parameter Categories'!$B$2:$G$200,
            5,
            FALSE
         )="x",
         "Yes",
         ""
      )
   ),
"")</f>
        <v>No</v>
      </c>
    </row>
    <row r="36" spans="1:3" x14ac:dyDescent="0.3">
      <c r="A36" s="53" t="str">
        <f>INDEX(SharedParams[Name],ROW(B35))</f>
        <v>DPP_DAT_VaporDiffμ_dry</v>
      </c>
      <c r="B36" s="53" t="str">
        <f>IFERROR(
   VLOOKUP(
      INDEX('Manual workflow'!$B$2:$B$200,
             MATCH($A36,'Manual workflow'!$A$2:$A$200,0)
      ),
      'Built In Parameter groups'!$A$2:$C$200,
      2,
      FALSE
   ),
"")</f>
        <v>General</v>
      </c>
      <c r="C36" s="53" t="str">
        <f>IFERROR(
   IF(
      VLOOKUP(
         INDEX('Shared parameters'!$A$2:$A$200,
                MATCH($A36,'Shared parameters'!$B$2:$B$200,0)
         ),
         'Parameter Categories'!$B$2:$G$200,
         6,
         FALSE
      )="x",
      "No",
      IF(
         VLOOKUP(
            INDEX('Shared parameters'!$A$2:$A$200,
                   MATCH($A36,'Shared parameters'!$B$2:$B$200,0)
            ),
            'Parameter Categories'!$B$2:$G$200,
            5,
            FALSE
         )="x",
         "Yes",
         ""
      )
   ),
"")</f>
        <v>No</v>
      </c>
    </row>
    <row r="37" spans="1:3" x14ac:dyDescent="0.3">
      <c r="A37" s="53" t="str">
        <f>INDEX(SharedParams[Name],ROW(B36))</f>
        <v>DPP_DAT_VaporAbsorption</v>
      </c>
      <c r="B37" s="53" t="str">
        <f>IFERROR(
   VLOOKUP(
      INDEX('Manual workflow'!$B$2:$B$200,
             MATCH($A37,'Manual workflow'!$A$2:$A$200,0)
      ),
      'Built In Parameter groups'!$A$2:$C$200,
      2,
      FALSE
   ),
"")</f>
        <v>General</v>
      </c>
      <c r="C37" s="53" t="str">
        <f>IFERROR(
   IF(
      VLOOKUP(
         INDEX('Shared parameters'!$A$2:$A$200,
                MATCH($A37,'Shared parameters'!$B$2:$B$200,0)
         ),
         'Parameter Categories'!$B$2:$G$200,
         6,
         FALSE
      )="x",
      "No",
      IF(
         VLOOKUP(
            INDEX('Shared parameters'!$A$2:$A$200,
                   MATCH($A37,'Shared parameters'!$B$2:$B$200,0)
            ),
            'Parameter Categories'!$B$2:$G$200,
            5,
            FALSE
         )="x",
         "Yes",
         ""
      )
   ),
"")</f>
        <v>No</v>
      </c>
    </row>
    <row r="38" spans="1:3" x14ac:dyDescent="0.3">
      <c r="A38" s="53" t="str">
        <f>INDEX(SharedParams[Name],ROW(B37))</f>
        <v>DPP_DAT_StandarCompliance</v>
      </c>
      <c r="B38" s="53" t="str">
        <f>IFERROR(
   VLOOKUP(
      INDEX('Manual workflow'!$B$2:$B$200,
             MATCH($A38,'Manual workflow'!$A$2:$A$200,0)
      ),
      'Built In Parameter groups'!$A$2:$C$200,
      2,
      FALSE
   ),
"")</f>
        <v>IdentityData</v>
      </c>
      <c r="C38" s="53" t="str">
        <f>IFERROR(
   IF(
      VLOOKUP(
         INDEX('Shared parameters'!$A$2:$A$200,
                MATCH($A38,'Shared parameters'!$B$2:$B$200,0)
         ),
         'Parameter Categories'!$B$2:$G$200,
         6,
         FALSE
      )="x",
      "No",
      IF(
         VLOOKUP(
            INDEX('Shared parameters'!$A$2:$A$200,
                   MATCH($A38,'Shared parameters'!$B$2:$B$200,0)
            ),
            'Parameter Categories'!$B$2:$G$200,
            5,
            FALSE
         )="x",
         "Yes",
         ""
      )
   ),
"")</f>
        <v>No</v>
      </c>
    </row>
    <row r="39" spans="1:3" x14ac:dyDescent="0.3">
      <c r="A39" s="53" t="str">
        <f>INDEX(SharedParams[Name],ROW(B38))</f>
        <v>DPP_CIR_ConnectionType</v>
      </c>
      <c r="B39" s="53" t="str">
        <f>IFERROR(
   VLOOKUP(
      INDEX('Manual workflow'!$B$2:$B$200,
             MATCH($A39,'Manual workflow'!$A$2:$A$200,0)
      ),
      'Built In Parameter groups'!$A$2:$C$200,
      2,
      FALSE
   ),
"")</f>
        <v>Construction</v>
      </c>
      <c r="C39" s="53" t="str">
        <f>IFERROR(
   IF(
      VLOOKUP(
         INDEX('Shared parameters'!$A$2:$A$200,
                MATCH($A39,'Shared parameters'!$B$2:$B$200,0)
         ),
         'Parameter Categories'!$B$2:$G$200,
         6,
         FALSE
      )="x",
      "No",
      IF(
         VLOOKUP(
            INDEX('Shared parameters'!$A$2:$A$200,
                   MATCH($A39,'Shared parameters'!$B$2:$B$200,0)
            ),
            'Parameter Categories'!$B$2:$G$200,
            5,
            FALSE
         )="x",
         "Yes",
         ""
      )
   ),
"")</f>
        <v>No</v>
      </c>
    </row>
    <row r="40" spans="1:3" x14ac:dyDescent="0.3">
      <c r="A40" s="53" t="str">
        <f>INDEX(SharedParams[Name],ROW(B39))</f>
        <v>DPP_CIR_ConnectionScore</v>
      </c>
      <c r="B40" s="53" t="str">
        <f>IFERROR(
   VLOOKUP(
      INDEX('Manual workflow'!$B$2:$B$200,
             MATCH($A40,'Manual workflow'!$A$2:$A$200,0)
      ),
      'Built In Parameter groups'!$A$2:$C$200,
      2,
      FALSE
   ),
"")</f>
        <v>Construction</v>
      </c>
      <c r="C40" s="53" t="str">
        <f>IFERROR(
   IF(
      VLOOKUP(
         INDEX('Shared parameters'!$A$2:$A$200,
                MATCH($A40,'Shared parameters'!$B$2:$B$200,0)
         ),
         'Parameter Categories'!$B$2:$G$200,
         6,
         FALSE
      )="x",
      "No",
      IF(
         VLOOKUP(
            INDEX('Shared parameters'!$A$2:$A$200,
                   MATCH($A40,'Shared parameters'!$B$2:$B$200,0)
            ),
            'Parameter Categories'!$B$2:$G$200,
            5,
            FALSE
         )="x",
         "Yes",
         ""
      )
   ),
"")</f>
        <v>No</v>
      </c>
    </row>
    <row r="41" spans="1:3" x14ac:dyDescent="0.3">
      <c r="A41" s="53" t="str">
        <f>INDEX(SharedParams[Name],ROW(B40))</f>
        <v>DPP_CIR_Prefabrication</v>
      </c>
      <c r="B41" s="53" t="str">
        <f>IFERROR(
   VLOOKUP(
      INDEX('Manual workflow'!$B$2:$B$200,
             MATCH($A41,'Manual workflow'!$A$2:$A$200,0)
      ),
      'Built In Parameter groups'!$A$2:$C$200,
      2,
      FALSE
   ),
"")</f>
        <v>Construction</v>
      </c>
      <c r="C41" s="53" t="str">
        <f>IFERROR(
   IF(
      VLOOKUP(
         INDEX('Shared parameters'!$A$2:$A$200,
                MATCH($A41,'Shared parameters'!$B$2:$B$200,0)
         ),
         'Parameter Categories'!$B$2:$G$200,
         6,
         FALSE
      )="x",
      "No",
      IF(
         VLOOKUP(
            INDEX('Shared parameters'!$A$2:$A$200,
                   MATCH($A41,'Shared parameters'!$B$2:$B$200,0)
            ),
            'Parameter Categories'!$B$2:$G$200,
            5,
            FALSE
         )="x",
         "Yes",
         ""
      )
   ),
"")</f>
        <v>No</v>
      </c>
    </row>
    <row r="42" spans="1:3" x14ac:dyDescent="0.3">
      <c r="A42" s="53" t="str">
        <f>INDEX(SharedParams[Name],ROW(B41))</f>
        <v>DPP_CIR_PrefabricationFactor</v>
      </c>
      <c r="B42" s="53" t="str">
        <f>IFERROR(
   VLOOKUP(
      INDEX('Manual workflow'!$B$2:$B$200,
             MATCH($A42,'Manual workflow'!$A$2:$A$200,0)
      ),
      'Built In Parameter groups'!$A$2:$C$200,
      2,
      FALSE
   ),
"")</f>
        <v>Construction</v>
      </c>
      <c r="C42" s="53" t="str">
        <f>IFERROR(
   IF(
      VLOOKUP(
         INDEX('Shared parameters'!$A$2:$A$200,
                MATCH($A42,'Shared parameters'!$B$2:$B$200,0)
         ),
         'Parameter Categories'!$B$2:$G$200,
         6,
         FALSE
      )="x",
      "No",
      IF(
         VLOOKUP(
            INDEX('Shared parameters'!$A$2:$A$200,
                   MATCH($A42,'Shared parameters'!$B$2:$B$200,0)
            ),
            'Parameter Categories'!$B$2:$G$200,
            5,
            FALSE
         )="x",
         "Yes",
         ""
      )
   ),
"")</f>
        <v>No</v>
      </c>
    </row>
    <row r="43" spans="1:3" x14ac:dyDescent="0.3">
      <c r="A43" s="53" t="str">
        <f>INDEX(SharedParams[Name],ROW(B42))</f>
        <v>DPP_CIR_DeconstructabilityScore</v>
      </c>
      <c r="B43" s="53" t="str">
        <f>IFERROR(
   VLOOKUP(
      INDEX('Manual workflow'!$B$2:$B$200,
             MATCH($A43,'Manual workflow'!$A$2:$A$200,0)
      ),
      'Built In Parameter groups'!$A$2:$C$200,
      2,
      FALSE
   ),
"")</f>
        <v>Construction</v>
      </c>
      <c r="C43" s="53" t="str">
        <f>IFERROR(
   IF(
      VLOOKUP(
         INDEX('Shared parameters'!$A$2:$A$200,
                MATCH($A43,'Shared parameters'!$B$2:$B$200,0)
         ),
         'Parameter Categories'!$B$2:$G$200,
         6,
         FALSE
      )="x",
      "No",
      IF(
         VLOOKUP(
            INDEX('Shared parameters'!$A$2:$A$200,
                   MATCH($A43,'Shared parameters'!$B$2:$B$200,0)
            ),
            'Parameter Categories'!$B$2:$G$200,
            5,
            FALSE
         )="x",
         "Yes",
         ""
      )
   ),
"")</f>
        <v>No</v>
      </c>
    </row>
    <row r="44" spans="1:3" x14ac:dyDescent="0.3">
      <c r="A44" s="53" t="str">
        <f>INDEX(SharedParams[Name],ROW(B43))</f>
        <v>DPP_CIR_RecyclingPotential</v>
      </c>
      <c r="B44" s="53" t="str">
        <f>IFERROR(
   VLOOKUP(
      INDEX('Manual workflow'!$B$2:$B$200,
             MATCH($A44,'Manual workflow'!$A$2:$A$200,0)
      ),
      'Built In Parameter groups'!$A$2:$C$200,
      2,
      FALSE
   ),
"")</f>
        <v>Construction</v>
      </c>
      <c r="C44" s="53" t="str">
        <f>IFERROR(
   IF(
      VLOOKUP(
         INDEX('Shared parameters'!$A$2:$A$200,
                MATCH($A44,'Shared parameters'!$B$2:$B$200,0)
         ),
         'Parameter Categories'!$B$2:$G$200,
         6,
         FALSE
      )="x",
      "No",
      IF(
         VLOOKUP(
            INDEX('Shared parameters'!$A$2:$A$200,
                   MATCH($A44,'Shared parameters'!$B$2:$B$200,0)
            ),
            'Parameter Categories'!$B$2:$G$200,
            5,
            FALSE
         )="x",
         "Yes",
         ""
      )
   ),
"")</f>
        <v>No</v>
      </c>
    </row>
    <row r="45" spans="1:3" x14ac:dyDescent="0.3">
      <c r="A45" s="53" t="str">
        <f>INDEX(SharedParams[Name],ROW(B44))</f>
        <v>DPP_CIR_Reusability</v>
      </c>
      <c r="B45" s="53" t="str">
        <f>IFERROR(
   VLOOKUP(
      INDEX('Manual workflow'!$B$2:$B$200,
             MATCH($A45,'Manual workflow'!$A$2:$A$200,0)
      ),
      'Built In Parameter groups'!$A$2:$C$200,
      2,
      FALSE
   ),
"")</f>
        <v>Construction</v>
      </c>
      <c r="C45" s="53" t="str">
        <f>IFERROR(
   IF(
      VLOOKUP(
         INDEX('Shared parameters'!$A$2:$A$200,
                MATCH($A45,'Shared parameters'!$B$2:$B$200,0)
         ),
         'Parameter Categories'!$B$2:$G$200,
         6,
         FALSE
      )="x",
      "No",
      IF(
         VLOOKUP(
            INDEX('Shared parameters'!$A$2:$A$200,
                   MATCH($A45,'Shared parameters'!$B$2:$B$200,0)
            ),
            'Parameter Categories'!$B$2:$G$200,
            5,
            FALSE
         )="x",
         "Yes",
         ""
      )
   ),
"")</f>
        <v>No</v>
      </c>
    </row>
    <row r="46" spans="1:3" x14ac:dyDescent="0.3">
      <c r="A46" s="53" t="str">
        <f>INDEX(SharedParams[Name],ROW(B45))</f>
        <v>DPP_CIR_ReusabilityPotential</v>
      </c>
      <c r="B46" s="53" t="str">
        <f>IFERROR(
   VLOOKUP(
      INDEX('Manual workflow'!$B$2:$B$200,
             MATCH($A46,'Manual workflow'!$A$2:$A$200,0)
      ),
      'Built In Parameter groups'!$A$2:$C$200,
      2,
      FALSE
   ),
"")</f>
        <v>Construction</v>
      </c>
      <c r="C46" s="53" t="str">
        <f>IFERROR(
   IF(
      VLOOKUP(
         INDEX('Shared parameters'!$A$2:$A$200,
                MATCH($A46,'Shared parameters'!$B$2:$B$200,0)
         ),
         'Parameter Categories'!$B$2:$G$200,
         6,
         FALSE
      )="x",
      "No",
      IF(
         VLOOKUP(
            INDEX('Shared parameters'!$A$2:$A$200,
                   MATCH($A46,'Shared parameters'!$B$2:$B$200,0)
            ),
            'Parameter Categories'!$B$2:$G$200,
            5,
            FALSE
         )="x",
         "Yes",
         ""
      )
   ),
"")</f>
        <v>No</v>
      </c>
    </row>
    <row r="47" spans="1:3" x14ac:dyDescent="0.3">
      <c r="A47" s="53" t="str">
        <f>INDEX(SharedParams[Name],ROW(B46))</f>
        <v>DPP_CIR_RecoveryScore</v>
      </c>
      <c r="B47" s="53" t="str">
        <f>IFERROR(
   VLOOKUP(
      INDEX('Manual workflow'!$B$2:$B$200,
             MATCH($A47,'Manual workflow'!$A$2:$A$200,0)
      ),
      'Built In Parameter groups'!$A$2:$C$200,
      2,
      FALSE
   ),
"")</f>
        <v>Construction</v>
      </c>
      <c r="C47" s="53" t="str">
        <f>IFERROR(
   IF(
      VLOOKUP(
         INDEX('Shared parameters'!$A$2:$A$200,
                MATCH($A47,'Shared parameters'!$B$2:$B$200,0)
         ),
         'Parameter Categories'!$B$2:$G$200,
         6,
         FALSE
      )="x",
      "No",
      IF(
         VLOOKUP(
            INDEX('Shared parameters'!$A$2:$A$200,
                   MATCH($A47,'Shared parameters'!$B$2:$B$200,0)
            ),
            'Parameter Categories'!$B$2:$G$200,
            5,
            FALSE
         )="x",
         "Yes",
         ""
      )
   ),
"")</f>
        <v>No</v>
      </c>
    </row>
    <row r="48" spans="1:3" x14ac:dyDescent="0.3">
      <c r="A48" s="53" t="str">
        <f>INDEX(SharedParams[Name],ROW(B47))</f>
        <v>DPP_CIR_Disassemblypotential</v>
      </c>
      <c r="B48" s="53" t="str">
        <f>IFERROR(
   VLOOKUP(
      INDEX('Manual workflow'!$B$2:$B$200,
             MATCH($A48,'Manual workflow'!$A$2:$A$200,0)
      ),
      'Built In Parameter groups'!$A$2:$C$200,
      2,
      FALSE
   ),
"")</f>
        <v>Construction</v>
      </c>
      <c r="C48" s="53" t="str">
        <f>IFERROR(
   IF(
      VLOOKUP(
         INDEX('Shared parameters'!$A$2:$A$200,
                MATCH($A48,'Shared parameters'!$B$2:$B$200,0)
         ),
         'Parameter Categories'!$B$2:$G$200,
         6,
         FALSE
      )="x",
      "No",
      IF(
         VLOOKUP(
            INDEX('Shared parameters'!$A$2:$A$200,
                   MATCH($A48,'Shared parameters'!$B$2:$B$200,0)
            ),
            'Parameter Categories'!$B$2:$G$200,
            5,
            FALSE
         )="x",
         "Yes",
         ""
      )
   ),
"")</f>
        <v>No</v>
      </c>
    </row>
    <row r="49" spans="1:3" x14ac:dyDescent="0.3">
      <c r="A49" s="53" t="str">
        <f>INDEX(SharedParams[Name],ROW(B48))</f>
        <v>DPP_CIR_DisassemblyInstructions</v>
      </c>
      <c r="B49" s="53" t="str">
        <f>IFERROR(
   VLOOKUP(
      INDEX('Manual workflow'!$B$2:$B$200,
             MATCH($A49,'Manual workflow'!$A$2:$A$200,0)
      ),
      'Built In Parameter groups'!$A$2:$C$200,
      2,
      FALSE
   ),
"")</f>
        <v>Construction</v>
      </c>
      <c r="C49" s="53" t="str">
        <f>IFERROR(
   IF(
      VLOOKUP(
         INDEX('Shared parameters'!$A$2:$A$200,
                MATCH($A49,'Shared parameters'!$B$2:$B$200,0)
         ),
         'Parameter Categories'!$B$2:$G$200,
         6,
         FALSE
      )="x",
      "No",
      IF(
         VLOOKUP(
            INDEX('Shared parameters'!$A$2:$A$200,
                   MATCH($A49,'Shared parameters'!$B$2:$B$200,0)
            ),
            'Parameter Categories'!$B$2:$G$200,
            5,
            FALSE
         )="x",
         "Yes",
         ""
      )
   ),
"")</f>
        <v>No</v>
      </c>
    </row>
    <row r="50" spans="1:3" x14ac:dyDescent="0.3">
      <c r="A50" s="53" t="str">
        <f>INDEX(SharedParams[Name],ROW(B49))</f>
        <v>DPP_CIR_SecondaryUse</v>
      </c>
      <c r="B50" s="53" t="str">
        <f>IFERROR(
   VLOOKUP(
      INDEX('Manual workflow'!$B$2:$B$200,
             MATCH($A50,'Manual workflow'!$A$2:$A$200,0)
      ),
      'Built In Parameter groups'!$A$2:$C$200,
      2,
      FALSE
   ),
"")</f>
        <v>Construction</v>
      </c>
      <c r="C50" s="53" t="str">
        <f>IFERROR(
   IF(
      VLOOKUP(
         INDEX('Shared parameters'!$A$2:$A$200,
                MATCH($A50,'Shared parameters'!$B$2:$B$200,0)
         ),
         'Parameter Categories'!$B$2:$G$200,
         6,
         FALSE
      )="x",
      "No",
      IF(
         VLOOKUP(
            INDEX('Shared parameters'!$A$2:$A$200,
                   MATCH($A50,'Shared parameters'!$B$2:$B$200,0)
            ),
            'Parameter Categories'!$B$2:$G$200,
            5,
            FALSE
         )="x",
         "Yes",
         ""
      )
   ),
"")</f>
        <v>No</v>
      </c>
    </row>
    <row r="51" spans="1:3" x14ac:dyDescent="0.3">
      <c r="A51" s="53" t="str">
        <f>INDEX(SharedParams[Name],ROW(B50))</f>
        <v>DPP_CIR_EndofLifeRecomendations</v>
      </c>
      <c r="B51" s="53" t="str">
        <f>IFERROR(
   VLOOKUP(
      INDEX('Manual workflow'!$B$2:$B$200,
             MATCH($A51,'Manual workflow'!$A$2:$A$200,0)
      ),
      'Built In Parameter groups'!$A$2:$C$200,
      2,
      FALSE
   ),
"")</f>
        <v>Construction</v>
      </c>
      <c r="C51" s="53" t="str">
        <f>IFERROR(
   IF(
      VLOOKUP(
         INDEX('Shared parameters'!$A$2:$A$200,
                MATCH($A51,'Shared parameters'!$B$2:$B$200,0)
         ),
         'Parameter Categories'!$B$2:$G$200,
         6,
         FALSE
      )="x",
      "No",
      IF(
         VLOOKUP(
            INDEX('Shared parameters'!$A$2:$A$200,
                   MATCH($A51,'Shared parameters'!$B$2:$B$200,0)
            ),
            'Parameter Categories'!$B$2:$G$200,
            5,
            FALSE
         )="x",
         "Yes",
         ""
      )
   ),
"")</f>
        <v>No</v>
      </c>
    </row>
    <row r="52" spans="1:3" x14ac:dyDescent="0.3">
      <c r="A52" s="53" t="str">
        <f>INDEX(SharedParams[Name],ROW(B51))</f>
        <v>DPP_END_EPD</v>
      </c>
      <c r="B52" s="53" t="str">
        <f>IFERROR(
   VLOOKUP(
      INDEX('Manual workflow'!$B$2:$B$200,
             MATCH($A52,'Manual workflow'!$A$2:$A$200,0)
      ),
      'Built In Parameter groups'!$A$2:$C$200,
      2,
      FALSE
   ),
"")</f>
        <v>GreenBuilding</v>
      </c>
      <c r="C52" s="53" t="str">
        <f>IFERROR(
   IF(
      VLOOKUP(
         INDEX('Shared parameters'!$A$2:$A$200,
                MATCH($A52,'Shared parameters'!$B$2:$B$200,0)
         ),
         'Parameter Categories'!$B$2:$G$200,
         6,
         FALSE
      )="x",
      "No",
      IF(
         VLOOKUP(
            INDEX('Shared parameters'!$A$2:$A$200,
                   MATCH($A52,'Shared parameters'!$B$2:$B$200,0)
            ),
            'Parameter Categories'!$B$2:$G$200,
            5,
            FALSE
         )="x",
         "Yes",
         ""
      )
   ),
"")</f>
        <v>No</v>
      </c>
    </row>
    <row r="53" spans="1:3" x14ac:dyDescent="0.3">
      <c r="A53" s="53" t="str">
        <f>INDEX(SharedParams[Name],ROW(B52))</f>
        <v>DPP_END_EPD_URL</v>
      </c>
      <c r="B53" s="53" t="str">
        <f>IFERROR(
   VLOOKUP(
      INDEX('Manual workflow'!$B$2:$B$200,
             MATCH($A53,'Manual workflow'!$A$2:$A$200,0)
      ),
      'Built In Parameter groups'!$A$2:$C$200,
      2,
      FALSE
   ),
"")</f>
        <v>GreenBuilding</v>
      </c>
      <c r="C53" s="53" t="str">
        <f>IFERROR(
   IF(
      VLOOKUP(
         INDEX('Shared parameters'!$A$2:$A$200,
                MATCH($A53,'Shared parameters'!$B$2:$B$200,0)
         ),
         'Parameter Categories'!$B$2:$G$200,
         6,
         FALSE
      )="x",
      "No",
      IF(
         VLOOKUP(
            INDEX('Shared parameters'!$A$2:$A$200,
                   MATCH($A53,'Shared parameters'!$B$2:$B$200,0)
            ),
            'Parameter Categories'!$B$2:$G$200,
            5,
            FALSE
         )="x",
         "Yes",
         ""
      )
   ),
"")</f>
        <v>No</v>
      </c>
    </row>
    <row r="54" spans="1:3" x14ac:dyDescent="0.3">
      <c r="A54" s="53" t="str">
        <f>INDEX(SharedParams[Name],ROW(B53))</f>
        <v>DPP_END_GWP_kgCO₂eq</v>
      </c>
      <c r="B54" s="53" t="str">
        <f>IFERROR(
   VLOOKUP(
      INDEX('Manual workflow'!$B$2:$B$200,
             MATCH($A54,'Manual workflow'!$A$2:$A$200,0)
      ),
      'Built In Parameter groups'!$A$2:$C$200,
      2,
      FALSE
   ),
"")</f>
        <v>GreenBuilding</v>
      </c>
      <c r="C54" s="53" t="str">
        <f>IFERROR(
   IF(
      VLOOKUP(
         INDEX('Shared parameters'!$A$2:$A$200,
                MATCH($A54,'Shared parameters'!$B$2:$B$200,0)
         ),
         'Parameter Categories'!$B$2:$G$200,
         6,
         FALSE
      )="x",
      "No",
      IF(
         VLOOKUP(
            INDEX('Shared parameters'!$A$2:$A$200,
                   MATCH($A54,'Shared parameters'!$B$2:$B$200,0)
            ),
            'Parameter Categories'!$B$2:$G$200,
            5,
            FALSE
         )="x",
         "Yes",
         ""
      )
   ),
"")</f>
        <v>No</v>
      </c>
    </row>
    <row r="55" spans="1:3" x14ac:dyDescent="0.3">
      <c r="A55" s="53" t="str">
        <f>INDEX(SharedParams[Name],ROW(B54))</f>
        <v>DPP_END_PEI_MJKg</v>
      </c>
      <c r="B55" s="53" t="str">
        <f>IFERROR(
   VLOOKUP(
      INDEX('Manual workflow'!$B$2:$B$200,
             MATCH($A55,'Manual workflow'!$A$2:$A$200,0)
      ),
      'Built In Parameter groups'!$A$2:$C$200,
      2,
      FALSE
   ),
"")</f>
        <v>GreenBuilding</v>
      </c>
      <c r="C55" s="53" t="str">
        <f>IFERROR(
   IF(
      VLOOKUP(
         INDEX('Shared parameters'!$A$2:$A$200,
                MATCH($A55,'Shared parameters'!$B$2:$B$200,0)
         ),
         'Parameter Categories'!$B$2:$G$200,
         6,
         FALSE
      )="x",
      "No",
      IF(
         VLOOKUP(
            INDEX('Shared parameters'!$A$2:$A$200,
                   MATCH($A55,'Shared parameters'!$B$2:$B$200,0)
            ),
            'Parameter Categories'!$B$2:$G$200,
            5,
            FALSE
         )="x",
         "Yes",
         ""
      )
   ),
"")</f>
        <v>No</v>
      </c>
    </row>
    <row r="56" spans="1:3" x14ac:dyDescent="0.3">
      <c r="A56" s="53" t="str">
        <f>INDEX(SharedParams[Name],ROW(B55))</f>
        <v>DPP_END_PERT_MJKg</v>
      </c>
      <c r="B56" s="53" t="str">
        <f>IFERROR(
   VLOOKUP(
      INDEX('Manual workflow'!$B$2:$B$200,
             MATCH($A56,'Manual workflow'!$A$2:$A$200,0)
      ),
      'Built In Parameter groups'!$A$2:$C$200,
      2,
      FALSE
   ),
"")</f>
        <v>GreenBuilding</v>
      </c>
      <c r="C56" s="53" t="str">
        <f>IFERROR(
   IF(
      VLOOKUP(
         INDEX('Shared parameters'!$A$2:$A$200,
                MATCH($A56,'Shared parameters'!$B$2:$B$200,0)
         ),
         'Parameter Categories'!$B$2:$G$200,
         6,
         FALSE
      )="x",
      "No",
      IF(
         VLOOKUP(
            INDEX('Shared parameters'!$A$2:$A$200,
                   MATCH($A56,'Shared parameters'!$B$2:$B$200,0)
            ),
            'Parameter Categories'!$B$2:$G$200,
            5,
            FALSE
         )="x",
         "Yes",
         ""
      )
   ),
"")</f>
        <v>No</v>
      </c>
    </row>
    <row r="57" spans="1:3" x14ac:dyDescent="0.3">
      <c r="A57" s="53" t="str">
        <f>INDEX(SharedParams[Name],ROW(B56))</f>
        <v>DPP_END_PENRT_MJKg</v>
      </c>
      <c r="B57" s="53" t="str">
        <f>IFERROR(
   VLOOKUP(
      INDEX('Manual workflow'!$B$2:$B$200,
             MATCH($A57,'Manual workflow'!$A$2:$A$200,0)
      ),
      'Built In Parameter groups'!$A$2:$C$200,
      2,
      FALSE
   ),
"")</f>
        <v>GreenBuilding</v>
      </c>
      <c r="C57" s="53" t="str">
        <f>IFERROR(
   IF(
      VLOOKUP(
         INDEX('Shared parameters'!$A$2:$A$200,
                MATCH($A57,'Shared parameters'!$B$2:$B$200,0)
         ),
         'Parameter Categories'!$B$2:$G$200,
         6,
         FALSE
      )="x",
      "No",
      IF(
         VLOOKUP(
            INDEX('Shared parameters'!$A$2:$A$200,
                   MATCH($A57,'Shared parameters'!$B$2:$B$200,0)
            ),
            'Parameter Categories'!$B$2:$G$200,
            5,
            FALSE
         )="x",
         "Yes",
         ""
      )
   ),
"")</f>
        <v>No</v>
      </c>
    </row>
    <row r="58" spans="1:3" x14ac:dyDescent="0.3">
      <c r="A58" s="53" t="str">
        <f>INDEX(SharedParams[Name],ROW(B57))</f>
        <v>DPP_END_AP_kgSO₂eq</v>
      </c>
      <c r="B58" s="53" t="str">
        <f>IFERROR(
   VLOOKUP(
      INDEX('Manual workflow'!$B$2:$B$200,
             MATCH($A58,'Manual workflow'!$A$2:$A$200,0)
      ),
      'Built In Parameter groups'!$A$2:$C$200,
      2,
      FALSE
   ),
"")</f>
        <v>GreenBuilding</v>
      </c>
      <c r="C58" s="53" t="str">
        <f>IFERROR(
   IF(
      VLOOKUP(
         INDEX('Shared parameters'!$A$2:$A$200,
                MATCH($A58,'Shared parameters'!$B$2:$B$200,0)
         ),
         'Parameter Categories'!$B$2:$G$200,
         6,
         FALSE
      )="x",
      "No",
      IF(
         VLOOKUP(
            INDEX('Shared parameters'!$A$2:$A$200,
                   MATCH($A58,'Shared parameters'!$B$2:$B$200,0)
            ),
            'Parameter Categories'!$B$2:$G$200,
            5,
            FALSE
         )="x",
         "Yes",
         ""
      )
   ),
"")</f>
        <v>No</v>
      </c>
    </row>
    <row r="59" spans="1:3" x14ac:dyDescent="0.3">
      <c r="A59" s="53" t="str">
        <f>INDEX(SharedParams[Name],ROW(B58))</f>
        <v>DPP_END_EmbodiedCarbon_kgCO₂eq</v>
      </c>
      <c r="B59" s="53" t="str">
        <f>IFERROR(
   VLOOKUP(
      INDEX('Manual workflow'!$B$2:$B$200,
             MATCH($A59,'Manual workflow'!$A$2:$A$200,0)
      ),
      'Built In Parameter groups'!$A$2:$C$200,
      2,
      FALSE
   ),
"")</f>
        <v>GreenBuilding</v>
      </c>
      <c r="C59" s="53" t="str">
        <f>IFERROR(
   IF(
      VLOOKUP(
         INDEX('Shared parameters'!$A$2:$A$200,
                MATCH($A59,'Shared parameters'!$B$2:$B$200,0)
         ),
         'Parameter Categories'!$B$2:$G$200,
         6,
         FALSE
      )="x",
      "No",
      IF(
         VLOOKUP(
            INDEX('Shared parameters'!$A$2:$A$200,
                   MATCH($A59,'Shared parameters'!$B$2:$B$200,0)
            ),
            'Parameter Categories'!$B$2:$G$200,
            5,
            FALSE
         )="x",
         "Yes",
         ""
      )
   ),
"")</f>
        <v>No</v>
      </c>
    </row>
    <row r="60" spans="1:3" x14ac:dyDescent="0.3">
      <c r="A60" s="53" t="str">
        <f>INDEX(SharedParams[Name],ROW(B59))</f>
        <v>DPP_END_BiogenicCarbon_kgCO₂eq</v>
      </c>
      <c r="B60" s="53" t="str">
        <f>IFERROR(
   VLOOKUP(
      INDEX('Manual workflow'!$B$2:$B$200,
             MATCH($A60,'Manual workflow'!$A$2:$A$200,0)
      ),
      'Built In Parameter groups'!$A$2:$C$200,
      2,
      FALSE
   ),
"")</f>
        <v>GreenBuilding</v>
      </c>
      <c r="C60" s="53" t="str">
        <f>IFERROR(
   IF(
      VLOOKUP(
         INDEX('Shared parameters'!$A$2:$A$200,
                MATCH($A60,'Shared parameters'!$B$2:$B$200,0)
         ),
         'Parameter Categories'!$B$2:$G$200,
         6,
         FALSE
      )="x",
      "No",
      IF(
         VLOOKUP(
            INDEX('Shared parameters'!$A$2:$A$200,
                   MATCH($A60,'Shared parameters'!$B$2:$B$200,0)
            ),
            'Parameter Categories'!$B$2:$G$200,
            5,
            FALSE
         )="x",
         "Yes",
         ""
      )
   ),
"")</f>
        <v>No</v>
      </c>
    </row>
    <row r="61" spans="1:3" x14ac:dyDescent="0.3">
      <c r="A61" s="53" t="str">
        <f>INDEX(SharedParams[Name],ROW(B60))</f>
        <v>DPP_END_EndoflifeEmissions_kgCO₂eq</v>
      </c>
      <c r="B61" s="53" t="str">
        <f>IFERROR(
   VLOOKUP(
      INDEX('Manual workflow'!$B$2:$B$200,
             MATCH($A61,'Manual workflow'!$A$2:$A$200,0)
      ),
      'Built In Parameter groups'!$A$2:$C$200,
      2,
      FALSE
   ),
"")</f>
        <v>GreenBuilding</v>
      </c>
      <c r="C61" s="53" t="str">
        <f>IFERROR(
   IF(
      VLOOKUP(
         INDEX('Shared parameters'!$A$2:$A$200,
                MATCH($A61,'Shared parameters'!$B$2:$B$200,0)
         ),
         'Parameter Categories'!$B$2:$G$200,
         6,
         FALSE
      )="x",
      "No",
      IF(
         VLOOKUP(
            INDEX('Shared parameters'!$A$2:$A$200,
                   MATCH($A61,'Shared parameters'!$B$2:$B$200,0)
            ),
            'Parameter Categories'!$B$2:$G$200,
            5,
            FALSE
         )="x",
         "Yes",
         ""
      )
   ),
"")</f>
        <v>No</v>
      </c>
    </row>
    <row r="62" spans="1:3" x14ac:dyDescent="0.3">
      <c r="A62" s="53" t="str">
        <f>INDEX(SharedParams[Name],ROW(B61))</f>
        <v>DPP_CIR_CircularityIndex</v>
      </c>
      <c r="B62" s="53" t="str">
        <f>IFERROR(
   VLOOKUP(
      INDEX('Manual workflow'!$B$2:$B$200,
             MATCH($A62,'Manual workflow'!$A$2:$A$200,0)
      ),
      'Built In Parameter groups'!$A$2:$C$200,
      2,
      FALSE
   ),
"")</f>
        <v>GreenBuilding</v>
      </c>
      <c r="C62" s="53" t="str">
        <f>IFERROR(
   IF(
      VLOOKUP(
         INDEX('Shared parameters'!$A$2:$A$200,
                MATCH($A62,'Shared parameters'!$B$2:$B$200,0)
         ),
         'Parameter Categories'!$B$2:$G$200,
         6,
         FALSE
      )="x",
      "No",
      IF(
         VLOOKUP(
            INDEX('Shared parameters'!$A$2:$A$200,
                   MATCH($A62,'Shared parameters'!$B$2:$B$200,0)
            ),
            'Parameter Categories'!$B$2:$G$200,
            5,
            FALSE
         )="x",
         "Yes",
         ""
      )
   ),
"")</f>
        <v>No</v>
      </c>
    </row>
    <row r="63" spans="1:3" x14ac:dyDescent="0.3">
      <c r="A63" s="53" t="str">
        <f>INDEX(SharedParams[Name],ROW(B62))</f>
        <v>DPP_END_Ei</v>
      </c>
      <c r="B63" s="53" t="str">
        <f>IFERROR(
   VLOOKUP(
      INDEX('Manual workflow'!$B$2:$B$200,
             MATCH($A63,'Manual workflow'!$A$2:$A$200,0)
      ),
      'Built In Parameter groups'!$A$2:$C$200,
      2,
      FALSE
   ),
"")</f>
        <v>GreenBuilding</v>
      </c>
      <c r="C63" s="53" t="str">
        <f>IFERROR(
   IF(
      VLOOKUP(
         INDEX('Shared parameters'!$A$2:$A$200,
                MATCH($A63,'Shared parameters'!$B$2:$B$200,0)
         ),
         'Parameter Categories'!$B$2:$G$200,
         6,
         FALSE
      )="x",
      "No",
      IF(
         VLOOKUP(
            INDEX('Shared parameters'!$A$2:$A$200,
                   MATCH($A63,'Shared parameters'!$B$2:$B$200,0)
            ),
            'Parameter Categories'!$B$2:$G$200,
            5,
            FALSE
         )="x",
         "Yes",
         ""
      )
   ),
"")</f>
        <v>No</v>
      </c>
    </row>
    <row r="64" spans="1:3" x14ac:dyDescent="0.3">
      <c r="A64" s="53" t="str">
        <f>INDEX(SharedParams[Name],ROW(B63))</f>
        <v>DPP_END_w</v>
      </c>
      <c r="B64" s="53" t="str">
        <f>IFERROR(
   VLOOKUP(
      INDEX('Manual workflow'!$B$2:$B$200,
             MATCH($A64,'Manual workflow'!$A$2:$A$200,0)
      ),
      'Built In Parameter groups'!$A$2:$C$200,
      2,
      FALSE
   ),
"")</f>
        <v>GreenBuilding</v>
      </c>
      <c r="C64" s="53" t="str">
        <f>IFERROR(
   IF(
      VLOOKUP(
         INDEX('Shared parameters'!$A$2:$A$200,
                MATCH($A64,'Shared parameters'!$B$2:$B$200,0)
         ),
         'Parameter Categories'!$B$2:$G$200,
         6,
         FALSE
      )="x",
      "No",
      IF(
         VLOOKUP(
            INDEX('Shared parameters'!$A$2:$A$200,
                   MATCH($A64,'Shared parameters'!$B$2:$B$200,0)
            ),
            'Parameter Categories'!$B$2:$G$200,
            5,
            FALSE
         )="x",
         "Yes",
         ""
      )
   ),
"")</f>
        <v>No</v>
      </c>
    </row>
    <row r="65" spans="1:3" x14ac:dyDescent="0.3">
      <c r="A65" s="53" t="str">
        <f>INDEX(SharedParams[Name],ROW(B64))</f>
        <v>DPP_END_EnvironmentalScore</v>
      </c>
      <c r="B65" s="53" t="str">
        <f>IFERROR(
   VLOOKUP(
      INDEX('Manual workflow'!$B$2:$B$200,
             MATCH($A65,'Manual workflow'!$A$2:$A$200,0)
      ),
      'Built In Parameter groups'!$A$2:$C$200,
      2,
      FALSE
   ),
"")</f>
        <v>GreenBuilding</v>
      </c>
      <c r="C65" s="53" t="str">
        <f>IFERROR(
   IF(
      VLOOKUP(
         INDEX('Shared parameters'!$A$2:$A$200,
                MATCH($A65,'Shared parameters'!$B$2:$B$200,0)
         ),
         'Parameter Categories'!$B$2:$G$200,
         6,
         FALSE
      )="x",
      "No",
      IF(
         VLOOKUP(
            INDEX('Shared parameters'!$A$2:$A$200,
                   MATCH($A65,'Shared parameters'!$B$2:$B$200,0)
            ),
            'Parameter Categories'!$B$2:$G$200,
            5,
            FALSE
         )="x",
         "Yes",
         ""
      )
   ),
"")</f>
        <v>No</v>
      </c>
    </row>
    <row r="66" spans="1:3" x14ac:dyDescent="0.3">
      <c r="A66" s="53" t="str">
        <f>INDEX(SharedParams[Name],ROW(B65))</f>
        <v>DPP_TMP_ServiceLife_years</v>
      </c>
      <c r="B66" s="53" t="str">
        <f>IFERROR(
   VLOOKUP(
      INDEX('Manual workflow'!$B$2:$B$200,
             MATCH($A66,'Manual workflow'!$A$2:$A$200,0)
      ),
      'Built In Parameter groups'!$A$2:$C$200,
      2,
      FALSE
   ),
"")</f>
        <v>IdentityData</v>
      </c>
      <c r="C66" s="53" t="str">
        <f>IFERROR(
   IF(
      VLOOKUP(
         INDEX('Shared parameters'!$A$2:$A$200,
                MATCH($A66,'Shared parameters'!$B$2:$B$200,0)
         ),
         'Parameter Categories'!$B$2:$G$200,
         6,
         FALSE
      )="x",
      "No",
      IF(
         VLOOKUP(
            INDEX('Shared parameters'!$A$2:$A$200,
                   MATCH($A66,'Shared parameters'!$B$2:$B$200,0)
            ),
            'Parameter Categories'!$B$2:$G$200,
            5,
            FALSE
         )="x",
         "Yes",
         ""
      )
   ),
"")</f>
        <v>No</v>
      </c>
    </row>
    <row r="67" spans="1:3" x14ac:dyDescent="0.3">
      <c r="A67" s="53" t="str">
        <f>INDEX(SharedParams[Name],ROW(B66))</f>
        <v>DPP_TMP_Manteinance</v>
      </c>
      <c r="B67" s="53" t="str">
        <f>IFERROR(
   VLOOKUP(
      INDEX('Manual workflow'!$B$2:$B$200,
             MATCH($A67,'Manual workflow'!$A$2:$A$200,0)
      ),
      'Built In Parameter groups'!$A$2:$C$200,
      2,
      FALSE
   ),
"")</f>
        <v>IdentityData</v>
      </c>
      <c r="C67" s="53" t="str">
        <f>IFERROR(
   IF(
      VLOOKUP(
         INDEX('Shared parameters'!$A$2:$A$200,
                MATCH($A67,'Shared parameters'!$B$2:$B$200,0)
         ),
         'Parameter Categories'!$B$2:$G$200,
         6,
         FALSE
      )="x",
      "No",
      IF(
         VLOOKUP(
            INDEX('Shared parameters'!$A$2:$A$200,
                   MATCH($A67,'Shared parameters'!$B$2:$B$200,0)
            ),
            'Parameter Categories'!$B$2:$G$200,
            5,
            FALSE
         )="x",
         "Yes",
         ""
      )
   ),
"")</f>
        <v>Yes</v>
      </c>
    </row>
    <row r="68" spans="1:3" x14ac:dyDescent="0.3">
      <c r="A68" s="53" t="str">
        <f>INDEX(SharedParams[Name],ROW(B67))</f>
        <v>DPP_TMP_Soursing_km</v>
      </c>
      <c r="B68" s="53" t="str">
        <f>IFERROR(
   VLOOKUP(
      INDEX('Manual workflow'!$B$2:$B$200,
             MATCH($A68,'Manual workflow'!$A$2:$A$200,0)
      ),
      'Built In Parameter groups'!$A$2:$C$200,
      2,
      FALSE
   ),
"")</f>
        <v>IdentityData</v>
      </c>
      <c r="C68" s="53" t="str">
        <f>IFERROR(
   IF(
      VLOOKUP(
         INDEX('Shared parameters'!$A$2:$A$200,
                MATCH($A68,'Shared parameters'!$B$2:$B$200,0)
         ),
         'Parameter Categories'!$B$2:$G$200,
         6,
         FALSE
      )="x",
      "No",
      IF(
         VLOOKUP(
            INDEX('Shared parameters'!$A$2:$A$200,
                   MATCH($A68,'Shared parameters'!$B$2:$B$200,0)
            ),
            'Parameter Categories'!$B$2:$G$200,
            5,
            FALSE
         )="x",
         "Yes",
         ""
      )
   ),
"")</f>
        <v>No</v>
      </c>
    </row>
    <row r="69" spans="1:3" x14ac:dyDescent="0.3">
      <c r="A69" s="53" t="str">
        <f>INDEX(SharedParams[Name],ROW(B68))</f>
        <v>DPP_TMP_Warranty</v>
      </c>
      <c r="B69" s="53" t="str">
        <f>IFERROR(
   VLOOKUP(
      INDEX('Manual workflow'!$B$2:$B$200,
             MATCH($A69,'Manual workflow'!$A$2:$A$200,0)
      ),
      'Built In Parameter groups'!$A$2:$C$200,
      2,
      FALSE
   ),
"")</f>
        <v>IdentityData</v>
      </c>
      <c r="C69" s="53" t="str">
        <f>IFERROR(
   IF(
      VLOOKUP(
         INDEX('Shared parameters'!$A$2:$A$200,
                MATCH($A69,'Shared parameters'!$B$2:$B$200,0)
         ),
         'Parameter Categories'!$B$2:$G$200,
         6,
         FALSE
      )="x",
      "No",
      IF(
         VLOOKUP(
            INDEX('Shared parameters'!$A$2:$A$200,
                   MATCH($A69,'Shared parameters'!$B$2:$B$200,0)
            ),
            'Parameter Categories'!$B$2:$G$200,
            5,
            FALSE
         )="x",
         "Yes",
         ""
      )
   ),
"")</f>
        <v>No</v>
      </c>
    </row>
    <row r="70" spans="1:3" x14ac:dyDescent="0.3">
      <c r="A70" s="53" t="str">
        <f>INDEX(SharedParams[Name],ROW(B69))</f>
        <v>DPP_TMP_Warranty_months</v>
      </c>
      <c r="B70" s="53" t="str">
        <f>IFERROR(
   VLOOKUP(
      INDEX('Manual workflow'!$B$2:$B$200,
             MATCH($A70,'Manual workflow'!$A$2:$A$200,0)
      ),
      'Built In Parameter groups'!$A$2:$C$200,
      2,
      FALSE
   ),
"")</f>
        <v>IdentityData</v>
      </c>
      <c r="C70" s="53" t="str">
        <f>IFERROR(
   IF(
      VLOOKUP(
         INDEX('Shared parameters'!$A$2:$A$200,
                MATCH($A70,'Shared parameters'!$B$2:$B$200,0)
         ),
         'Parameter Categories'!$B$2:$G$200,
         6,
         FALSE
      )="x",
      "No",
      IF(
         VLOOKUP(
            INDEX('Shared parameters'!$A$2:$A$200,
                   MATCH($A70,'Shared parameters'!$B$2:$B$200,0)
            ),
            'Parameter Categories'!$B$2:$G$200,
            5,
            FALSE
         )="x",
         "Yes",
         ""
      )
   ),
"")</f>
        <v>No</v>
      </c>
    </row>
    <row r="71" spans="1:3" x14ac:dyDescent="0.3">
      <c r="A71" s="53" t="str">
        <f>INDEX(SharedParams[Name],ROW(B70))</f>
        <v>DPP_TMP_UpdateHistory</v>
      </c>
      <c r="B71" s="53" t="str">
        <f>IFERROR(
   VLOOKUP(
      INDEX('Manual workflow'!$B$2:$B$200,
             MATCH($A71,'Manual workflow'!$A$2:$A$200,0)
      ),
      'Built In Parameter groups'!$A$2:$C$200,
      2,
      FALSE
   ),
"")</f>
        <v>IdentityData</v>
      </c>
      <c r="C71" s="53" t="str">
        <f>IFERROR(
   IF(
      VLOOKUP(
         INDEX('Shared parameters'!$A$2:$A$200,
                MATCH($A71,'Shared parameters'!$B$2:$B$200,0)
         ),
         'Parameter Categories'!$B$2:$G$200,
         6,
         FALSE
      )="x",
      "No",
      IF(
         VLOOKUP(
            INDEX('Shared parameters'!$A$2:$A$200,
                   MATCH($A71,'Shared parameters'!$B$2:$B$200,0)
            ),
            'Parameter Categories'!$B$2:$G$200,
            5,
            FALSE
         )="x",
         "Yes",
         ""
      )
   ),
"")</f>
        <v>No</v>
      </c>
    </row>
    <row r="72" spans="1:3" x14ac:dyDescent="0.3">
      <c r="A72" s="53" t="str">
        <f>INDEX(SharedParams[Name],ROW(B71))</f>
        <v>DPP_SAD_HPD</v>
      </c>
      <c r="B72" s="53" t="str">
        <f>IFERROR(
   VLOOKUP(
      INDEX('Manual workflow'!$B$2:$B$200,
             MATCH($A72,'Manual workflow'!$A$2:$A$200,0)
      ),
      'Built In Parameter groups'!$A$2:$C$200,
      2,
      FALSE
   ),
"")</f>
        <v>LifeSafety</v>
      </c>
      <c r="C72" s="53" t="str">
        <f>IFERROR(
   IF(
      VLOOKUP(
         INDEX('Shared parameters'!$A$2:$A$200,
                MATCH($A72,'Shared parameters'!$B$2:$B$200,0)
         ),
         'Parameter Categories'!$B$2:$G$200,
         6,
         FALSE
      )="x",
      "No",
      IF(
         VLOOKUP(
            INDEX('Shared parameters'!$A$2:$A$200,
                   MATCH($A72,'Shared parameters'!$B$2:$B$200,0)
            ),
            'Parameter Categories'!$B$2:$G$200,
            5,
            FALSE
         )="x",
         "Yes",
         ""
      )
   ),
"")</f>
        <v>No</v>
      </c>
    </row>
    <row r="73" spans="1:3" x14ac:dyDescent="0.3">
      <c r="A73" s="53" t="str">
        <f>INDEX(SharedParams[Name],ROW(B72))</f>
        <v>DPP_SAD_HPD_URL</v>
      </c>
      <c r="B73" s="53" t="str">
        <f>IFERROR(
   VLOOKUP(
      INDEX('Manual workflow'!$B$2:$B$200,
             MATCH($A73,'Manual workflow'!$A$2:$A$200,0)
      ),
      'Built In Parameter groups'!$A$2:$C$200,
      2,
      FALSE
   ),
"")</f>
        <v>LifeSafety</v>
      </c>
      <c r="C73" s="53" t="str">
        <f>IFERROR(
   IF(
      VLOOKUP(
         INDEX('Shared parameters'!$A$2:$A$200,
                MATCH($A73,'Shared parameters'!$B$2:$B$200,0)
         ),
         'Parameter Categories'!$B$2:$G$200,
         6,
         FALSE
      )="x",
      "No",
      IF(
         VLOOKUP(
            INDEX('Shared parameters'!$A$2:$A$200,
                   MATCH($A73,'Shared parameters'!$B$2:$B$200,0)
            ),
            'Parameter Categories'!$B$2:$G$200,
            5,
            FALSE
         )="x",
         "Yes",
         ""
      )
   ),
"")</f>
        <v>No</v>
      </c>
    </row>
    <row r="74" spans="1:3" x14ac:dyDescent="0.3">
      <c r="A74" s="53" t="str">
        <f>INDEX(SharedParams[Name],ROW(B73))</f>
        <v>DPP_SAD_HazardClassification</v>
      </c>
      <c r="B74" s="53" t="str">
        <f>IFERROR(
   VLOOKUP(
      INDEX('Manual workflow'!$B$2:$B$200,
             MATCH($A74,'Manual workflow'!$A$2:$A$200,0)
      ),
      'Built In Parameter groups'!$A$2:$C$200,
      2,
      FALSE
   ),
"")</f>
        <v>LifeSafety</v>
      </c>
      <c r="C74" s="53" t="str">
        <f>IFERROR(
   IF(
      VLOOKUP(
         INDEX('Shared parameters'!$A$2:$A$200,
                MATCH($A74,'Shared parameters'!$B$2:$B$200,0)
         ),
         'Parameter Categories'!$B$2:$G$200,
         6,
         FALSE
      )="x",
      "No",
      IF(
         VLOOKUP(
            INDEX('Shared parameters'!$A$2:$A$200,
                   MATCH($A74,'Shared parameters'!$B$2:$B$200,0)
            ),
            'Parameter Categories'!$B$2:$G$200,
            5,
            FALSE
         )="x",
         "Yes",
         ""
      )
   ),
"")</f>
        <v>No</v>
      </c>
    </row>
    <row r="75" spans="1:3" x14ac:dyDescent="0.3">
      <c r="A75" s="53" t="str">
        <f>INDEX(SharedParams[Name],ROW(B74))</f>
        <v>DPP_SAD_PM_CTUh</v>
      </c>
      <c r="B75" s="53" t="str">
        <f>IFERROR(
   VLOOKUP(
      INDEX('Manual workflow'!$B$2:$B$200,
             MATCH($A75,'Manual workflow'!$A$2:$A$200,0)
      ),
      'Built In Parameter groups'!$A$2:$C$200,
      2,
      FALSE
   ),
"")</f>
        <v>LifeSafety</v>
      </c>
      <c r="C75" s="53" t="str">
        <f>IFERROR(
   IF(
      VLOOKUP(
         INDEX('Shared parameters'!$A$2:$A$200,
                MATCH($A75,'Shared parameters'!$B$2:$B$200,0)
         ),
         'Parameter Categories'!$B$2:$G$200,
         6,
         FALSE
      )="x",
      "No",
      IF(
         VLOOKUP(
            INDEX('Shared parameters'!$A$2:$A$200,
                   MATCH($A75,'Shared parameters'!$B$2:$B$200,0)
            ),
            'Parameter Categories'!$B$2:$G$200,
            5,
            FALSE
         )="x",
         "Yes",
         ""
      )
   ),
"")</f>
        <v>No</v>
      </c>
    </row>
    <row r="76" spans="1:3" x14ac:dyDescent="0.3">
      <c r="A76" s="53" t="str">
        <f>INDEX(SharedParams[Name],ROW(B75))</f>
        <v>DPP_SAD_IRP_kBqU235eq</v>
      </c>
      <c r="B76" s="53" t="str">
        <f>IFERROR(
   VLOOKUP(
      INDEX('Manual workflow'!$B$2:$B$200,
             MATCH($A76,'Manual workflow'!$A$2:$A$200,0)
      ),
      'Built In Parameter groups'!$A$2:$C$200,
      2,
      FALSE
   ),
"")</f>
        <v>LifeSafety</v>
      </c>
      <c r="C76" s="53" t="str">
        <f>IFERROR(
   IF(
      VLOOKUP(
         INDEX('Shared parameters'!$A$2:$A$200,
                MATCH($A76,'Shared parameters'!$B$2:$B$200,0)
         ),
         'Parameter Categories'!$B$2:$G$200,
         6,
         FALSE
      )="x",
      "No",
      IF(
         VLOOKUP(
            INDEX('Shared parameters'!$A$2:$A$200,
                   MATCH($A76,'Shared parameters'!$B$2:$B$200,0)
            ),
            'Parameter Categories'!$B$2:$G$200,
            5,
            FALSE
         )="x",
         "Yes",
         ""
      )
   ),
"")</f>
        <v>No</v>
      </c>
    </row>
    <row r="77" spans="1:3" x14ac:dyDescent="0.3">
      <c r="A77" s="53" t="str">
        <f>INDEX(SharedParams[Name],ROW(B76))</f>
        <v xml:space="preserve">DPP_SAD_ETPfw_CTUe </v>
      </c>
      <c r="B77" s="53" t="str">
        <f>IFERROR(
   VLOOKUP(
      INDEX('Manual workflow'!$B$2:$B$200,
             MATCH($A77,'Manual workflow'!$A$2:$A$200,0)
      ),
      'Built In Parameter groups'!$A$2:$C$200,
      2,
      FALSE
   ),
"")</f>
        <v>LifeSafety</v>
      </c>
      <c r="C77" s="53" t="str">
        <f>IFERROR(
   IF(
      VLOOKUP(
         INDEX('Shared parameters'!$A$2:$A$200,
                MATCH($A77,'Shared parameters'!$B$2:$B$200,0)
         ),
         'Parameter Categories'!$B$2:$G$200,
         6,
         FALSE
      )="x",
      "No",
      IF(
         VLOOKUP(
            INDEX('Shared parameters'!$A$2:$A$200,
                   MATCH($A77,'Shared parameters'!$B$2:$B$200,0)
            ),
            'Parameter Categories'!$B$2:$G$200,
            5,
            FALSE
         )="x",
         "Yes",
         ""
      )
   ),
"")</f>
        <v>No</v>
      </c>
    </row>
    <row r="78" spans="1:3" x14ac:dyDescent="0.3">
      <c r="A78" s="53" t="str">
        <f>INDEX(SharedParams[Name],ROW(B77))</f>
        <v>DPP_SAD_HRPc_CTUh</v>
      </c>
      <c r="B78" s="53" t="str">
        <f>IFERROR(
   VLOOKUP(
      INDEX('Manual workflow'!$B$2:$B$200,
             MATCH($A78,'Manual workflow'!$A$2:$A$200,0)
      ),
      'Built In Parameter groups'!$A$2:$C$200,
      2,
      FALSE
   ),
"")</f>
        <v>LifeSafety</v>
      </c>
      <c r="C78" s="53" t="str">
        <f>IFERROR(
   IF(
      VLOOKUP(
         INDEX('Shared parameters'!$A$2:$A$200,
                MATCH($A78,'Shared parameters'!$B$2:$B$200,0)
         ),
         'Parameter Categories'!$B$2:$G$200,
         6,
         FALSE
      )="x",
      "No",
      IF(
         VLOOKUP(
            INDEX('Shared parameters'!$A$2:$A$200,
                   MATCH($A78,'Shared parameters'!$B$2:$B$200,0)
            ),
            'Parameter Categories'!$B$2:$G$200,
            5,
            FALSE
         )="x",
         "Yes",
         ""
      )
   ),
"")</f>
        <v>No</v>
      </c>
    </row>
    <row r="79" spans="1:3" x14ac:dyDescent="0.3">
      <c r="A79" s="53" t="str">
        <f>INDEX(SharedParams[Name],ROW(B78))</f>
        <v>DPP_SAD_HRPnc_CTUh</v>
      </c>
      <c r="B79" s="53" t="str">
        <f>IFERROR(
   VLOOKUP(
      INDEX('Manual workflow'!$B$2:$B$200,
             MATCH($A79,'Manual workflow'!$A$2:$A$200,0)
      ),
      'Built In Parameter groups'!$A$2:$C$200,
      2,
      FALSE
   ),
"")</f>
        <v>LifeSafety</v>
      </c>
      <c r="C79" s="53" t="str">
        <f>IFERROR(
   IF(
      VLOOKUP(
         INDEX('Shared parameters'!$A$2:$A$200,
                MATCH($A79,'Shared parameters'!$B$2:$B$200,0)
         ),
         'Parameter Categories'!$B$2:$G$200,
         6,
         FALSE
      )="x",
      "No",
      IF(
         VLOOKUP(
            INDEX('Shared parameters'!$A$2:$A$200,
                   MATCH($A79,'Shared parameters'!$B$2:$B$200,0)
            ),
            'Parameter Categories'!$B$2:$G$200,
            5,
            FALSE
         )="x",
         "Yes",
         ""
      )
   ),
"")</f>
        <v>No</v>
      </c>
    </row>
    <row r="80" spans="1:3" x14ac:dyDescent="0.3">
      <c r="A80" s="53" t="str">
        <f>INDEX(SharedParams[Name],ROW(B79))</f>
        <v>DPP_SAD_SQP</v>
      </c>
      <c r="B80" s="53" t="str">
        <f>IFERROR(
   VLOOKUP(
      INDEX('Manual workflow'!$B$2:$B$200,
             MATCH($A80,'Manual workflow'!$A$2:$A$200,0)
      ),
      'Built In Parameter groups'!$A$2:$C$200,
      2,
      FALSE
   ),
"")</f>
        <v>LifeSafety</v>
      </c>
      <c r="C80" s="53" t="str">
        <f>IFERROR(
   IF(
      VLOOKUP(
         INDEX('Shared parameters'!$A$2:$A$200,
                MATCH($A80,'Shared parameters'!$B$2:$B$200,0)
         ),
         'Parameter Categories'!$B$2:$G$200,
         6,
         FALSE
      )="x",
      "No",
      IF(
         VLOOKUP(
            INDEX('Shared parameters'!$A$2:$A$200,
                   MATCH($A80,'Shared parameters'!$B$2:$B$200,0)
            ),
            'Parameter Categories'!$B$2:$G$200,
            5,
            FALSE
         )="x",
         "Yes",
         ""
      )
   ),
"")</f>
        <v>No</v>
      </c>
    </row>
    <row r="81" spans="1:3" x14ac:dyDescent="0.3">
      <c r="A81" s="53" t="str">
        <f>INDEX(SharedParams[Name],ROW(B80))</f>
        <v>DPP_SAD_Toxicity</v>
      </c>
      <c r="B81" s="53" t="str">
        <f>IFERROR(
   VLOOKUP(
      INDEX('Manual workflow'!$B$2:$B$200,
             MATCH($A81,'Manual workflow'!$A$2:$A$200,0)
      ),
      'Built In Parameter groups'!$A$2:$C$200,
      2,
      FALSE
   ),
"")</f>
        <v>LifeSafety</v>
      </c>
      <c r="C81" s="53" t="str">
        <f>IFERROR(
   IF(
      VLOOKUP(
         INDEX('Shared parameters'!$A$2:$A$200,
                MATCH($A81,'Shared parameters'!$B$2:$B$200,0)
         ),
         'Parameter Categories'!$B$2:$G$200,
         6,
         FALSE
      )="x",
      "No",
      IF(
         VLOOKUP(
            INDEX('Shared parameters'!$A$2:$A$200,
                   MATCH($A81,'Shared parameters'!$B$2:$B$200,0)
            ),
            'Parameter Categories'!$B$2:$G$200,
            5,
            FALSE
         )="x",
         "Yes",
         ""
      )
   ),
"")</f>
        <v>No</v>
      </c>
    </row>
    <row r="82" spans="1:3" x14ac:dyDescent="0.3">
      <c r="A82" s="53" t="str">
        <f>INDEX(SharedParams[Name],ROW(B81))</f>
        <v>DPP_SAD_Fire_Class</v>
      </c>
      <c r="B82" s="53" t="str">
        <f>IFERROR(
   VLOOKUP(
      INDEX('Manual workflow'!$B$2:$B$200,
             MATCH($A82,'Manual workflow'!$A$2:$A$200,0)
      ),
      'Built In Parameter groups'!$A$2:$C$200,
      2,
      FALSE
   ),
"")</f>
        <v>FireProtection</v>
      </c>
      <c r="C82" s="53" t="str">
        <f>IFERROR(
   IF(
      VLOOKUP(
         INDEX('Shared parameters'!$A$2:$A$200,
                MATCH($A82,'Shared parameters'!$B$2:$B$200,0)
         ),
         'Parameter Categories'!$B$2:$G$200,
         6,
         FALSE
      )="x",
      "No",
      IF(
         VLOOKUP(
            INDEX('Shared parameters'!$A$2:$A$200,
                   MATCH($A82,'Shared parameters'!$B$2:$B$200,0)
            ),
            'Parameter Categories'!$B$2:$G$200,
            5,
            FALSE
         )="x",
         "Yes",
         ""
      )
   ),
"")</f>
        <v>No</v>
      </c>
    </row>
    <row r="83" spans="1:3" x14ac:dyDescent="0.3">
      <c r="A83" s="53" t="str">
        <f>INDEX(SharedParams[Name],ROW(B82))</f>
        <v>DPP_SAD_Fire_Ssubclass</v>
      </c>
      <c r="B83" s="53" t="str">
        <f>IFERROR(
   VLOOKUP(
      INDEX('Manual workflow'!$B$2:$B$200,
             MATCH($A83,'Manual workflow'!$A$2:$A$200,0)
      ),
      'Built In Parameter groups'!$A$2:$C$200,
      2,
      FALSE
   ),
"")</f>
        <v>FireProtection</v>
      </c>
      <c r="C83" s="53" t="str">
        <f>IFERROR(
   IF(
      VLOOKUP(
         INDEX('Shared parameters'!$A$2:$A$200,
                MATCH($A83,'Shared parameters'!$B$2:$B$200,0)
         ),
         'Parameter Categories'!$B$2:$G$200,
         6,
         FALSE
      )="x",
      "No",
      IF(
         VLOOKUP(
            INDEX('Shared parameters'!$A$2:$A$200,
                   MATCH($A83,'Shared parameters'!$B$2:$B$200,0)
            ),
            'Parameter Categories'!$B$2:$G$200,
            5,
            FALSE
         )="x",
         "Yes",
         ""
      )
   ),
"")</f>
        <v>No</v>
      </c>
    </row>
    <row r="84" spans="1:3" x14ac:dyDescent="0.3">
      <c r="A84" s="53" t="str">
        <f>INDEX(SharedParams[Name],ROW(B83))</f>
        <v>DPP_SAD_Fire_Dsubclass</v>
      </c>
      <c r="B84" s="53" t="str">
        <f>IFERROR(
   VLOOKUP(
      INDEX('Manual workflow'!$B$2:$B$200,
             MATCH($A84,'Manual workflow'!$A$2:$A$200,0)
      ),
      'Built In Parameter groups'!$A$2:$C$200,
      2,
      FALSE
   ),
"")</f>
        <v>FireProtection</v>
      </c>
      <c r="C84" s="53" t="str">
        <f>IFERROR(
   IF(
      VLOOKUP(
         INDEX('Shared parameters'!$A$2:$A$200,
                MATCH($A84,'Shared parameters'!$B$2:$B$200,0)
         ),
         'Parameter Categories'!$B$2:$G$200,
         6,
         FALSE
      )="x",
      "No",
      IF(
         VLOOKUP(
            INDEX('Shared parameters'!$A$2:$A$200,
                   MATCH($A84,'Shared parameters'!$B$2:$B$200,0)
            ),
            'Parameter Categories'!$B$2:$G$200,
            5,
            FALSE
         )="x",
         "Yes",
         ""
      )
   ),
"")</f>
        <v>No</v>
      </c>
    </row>
    <row r="85" spans="1:3" x14ac:dyDescent="0.3">
      <c r="A85" s="53" t="str">
        <f>INDEX(SharedParams[Name],ROW(B84))</f>
        <v>DPP_SAD_FireResistance</v>
      </c>
      <c r="B85" s="53" t="str">
        <f>IFERROR(
   VLOOKUP(
      INDEX('Manual workflow'!$B$2:$B$200,
             MATCH($A85,'Manual workflow'!$A$2:$A$200,0)
      ),
      'Built In Parameter groups'!$A$2:$C$200,
      2,
      FALSE
   ),
"")</f>
        <v>FireProtection</v>
      </c>
      <c r="C85" s="53" t="str">
        <f>IFERROR(
   IF(
      VLOOKUP(
         INDEX('Shared parameters'!$A$2:$A$200,
                MATCH($A85,'Shared parameters'!$B$2:$B$200,0)
         ),
         'Parameter Categories'!$B$2:$G$200,
         6,
         FALSE
      )="x",
      "No",
      IF(
         VLOOKUP(
            INDEX('Shared parameters'!$A$2:$A$200,
                   MATCH($A85,'Shared parameters'!$B$2:$B$200,0)
            ),
            'Parameter Categories'!$B$2:$G$200,
            5,
            FALSE
         )="x",
         "Yes",
         ""
      )
   ),
"")</f>
        <v>No</v>
      </c>
    </row>
    <row r="86" spans="1:3" x14ac:dyDescent="0.3">
      <c r="A86" s="53" t="str">
        <f>INDEX(SharedParams[Name],ROW(B85))</f>
        <v>DPP_SAD_Coatings</v>
      </c>
      <c r="B86" s="53" t="str">
        <f>IFERROR(
   VLOOKUP(
      INDEX('Manual workflow'!$B$2:$B$200,
             MATCH($A86,'Manual workflow'!$A$2:$A$200,0)
      ),
      'Built In Parameter groups'!$A$2:$C$200,
      2,
      FALSE
   ),
"")</f>
        <v>Materials</v>
      </c>
      <c r="C86" s="53" t="str">
        <f>IFERROR(
   IF(
      VLOOKUP(
         INDEX('Shared parameters'!$A$2:$A$200,
                MATCH($A86,'Shared parameters'!$B$2:$B$200,0)
         ),
         'Parameter Categories'!$B$2:$G$200,
         6,
         FALSE
      )="x",
      "No",
      IF(
         VLOOKUP(
            INDEX('Shared parameters'!$A$2:$A$200,
                   MATCH($A86,'Shared parameters'!$B$2:$B$200,0)
            ),
            'Parameter Categories'!$B$2:$G$200,
            5,
            FALSE
         )="x",
         "Yes",
         ""
      )
   ),
"")</f>
        <v>No</v>
      </c>
    </row>
    <row r="87" spans="1:3" x14ac:dyDescent="0.3">
      <c r="A87" s="53" t="str">
        <f>INDEX(SharedParams[Name],ROW(B86))</f>
        <v>DPP_SAD_CoatingType</v>
      </c>
      <c r="B87" s="53" t="str">
        <f>IFERROR(
   VLOOKUP(
      INDEX('Manual workflow'!$B$2:$B$200,
             MATCH($A87,'Manual workflow'!$A$2:$A$200,0)
      ),
      'Built In Parameter groups'!$A$2:$C$200,
      2,
      FALSE
   ),
"")</f>
        <v>Materials</v>
      </c>
      <c r="C87" s="53" t="str">
        <f>IFERROR(
   IF(
      VLOOKUP(
         INDEX('Shared parameters'!$A$2:$A$200,
                MATCH($A87,'Shared parameters'!$B$2:$B$200,0)
         ),
         'Parameter Categories'!$B$2:$G$200,
         6,
         FALSE
      )="x",
      "No",
      IF(
         VLOOKUP(
            INDEX('Shared parameters'!$A$2:$A$200,
                   MATCH($A87,'Shared parameters'!$B$2:$B$200,0)
            ),
            'Parameter Categories'!$B$2:$G$200,
            5,
            FALSE
         )="x",
         "Yes",
         ""
      )
   ),
"")</f>
        <v>No</v>
      </c>
    </row>
    <row r="88" spans="1:3" x14ac:dyDescent="0.3">
      <c r="A88" s="53" t="str">
        <f>INDEX(SharedParams[Name],ROW(B87))</f>
        <v>DPP_SAD_PPERequirements</v>
      </c>
      <c r="B88" s="53" t="str">
        <f>IFERROR(
   VLOOKUP(
      INDEX('Manual workflow'!$B$2:$B$200,
             MATCH($A88,'Manual workflow'!$A$2:$A$200,0)
      ),
      'Built In Parameter groups'!$A$2:$C$200,
      2,
      FALSE
   ),
"")</f>
        <v>LifeSafety</v>
      </c>
      <c r="C88" s="53" t="str">
        <f>IFERROR(
   IF(
      VLOOKUP(
         INDEX('Shared parameters'!$A$2:$A$200,
                MATCH($A88,'Shared parameters'!$B$2:$B$200,0)
         ),
         'Parameter Categories'!$B$2:$G$200,
         6,
         FALSE
      )="x",
      "No",
      IF(
         VLOOKUP(
            INDEX('Shared parameters'!$A$2:$A$200,
                   MATCH($A88,'Shared parameters'!$B$2:$B$200,0)
            ),
            'Parameter Categories'!$B$2:$G$200,
            5,
            FALSE
         )="x",
         "Yes",
         ""
      )
   ),
"")</f>
        <v>No</v>
      </c>
    </row>
    <row r="89" spans="1:3" x14ac:dyDescent="0.3">
      <c r="A89" s="53" t="str">
        <f>INDEX(SharedParams[Name],ROW(B88))</f>
        <v>DPP_SAD_Compliance</v>
      </c>
      <c r="B89" s="53" t="str">
        <f>IFERROR(
   VLOOKUP(
      INDEX('Manual workflow'!$B$2:$B$200,
             MATCH($A89,'Manual workflow'!$A$2:$A$200,0)
      ),
      'Built In Parameter groups'!$A$2:$C$200,
      2,
      FALSE
   ),
"")</f>
        <v>IdentityData</v>
      </c>
      <c r="C89" s="53" t="str">
        <f>IFERROR(
   IF(
      VLOOKUP(
         INDEX('Shared parameters'!$A$2:$A$200,
                MATCH($A89,'Shared parameters'!$B$2:$B$200,0)
         ),
         'Parameter Categories'!$B$2:$G$200,
         6,
         FALSE
      )="x",
      "No",
      IF(
         VLOOKUP(
            INDEX('Shared parameters'!$A$2:$A$200,
                   MATCH($A89,'Shared parameters'!$B$2:$B$200,0)
            ),
            'Parameter Categories'!$B$2:$G$200,
            5,
            FALSE
         )="x",
         "Yes",
         ""
      )
   ),
"")</f>
        <v>No</v>
      </c>
    </row>
    <row r="90" spans="1:3" x14ac:dyDescent="0.3">
      <c r="A90" s="53" t="str">
        <f>INDEX(SharedParams[Name],ROW(B89))</f>
        <v>DPP_ASD_SAC</v>
      </c>
      <c r="B90" s="53" t="str">
        <f>IFERROR(
   VLOOKUP(
      INDEX('Manual workflow'!$B$2:$B$200,
             MATCH($A90,'Manual workflow'!$A$2:$A$200,0)
      ),
      'Built In Parameter groups'!$A$2:$C$200,
      2,
      FALSE
   ),
"")</f>
        <v>General</v>
      </c>
      <c r="C90" s="53" t="str">
        <f>IFERROR(
   IF(
      VLOOKUP(
         INDEX('Shared parameters'!$A$2:$A$200,
                MATCH($A90,'Shared parameters'!$B$2:$B$200,0)
         ),
         'Parameter Categories'!$B$2:$G$200,
         6,
         FALSE
      )="x",
      "No",
      IF(
         VLOOKUP(
            INDEX('Shared parameters'!$A$2:$A$200,
                   MATCH($A90,'Shared parameters'!$B$2:$B$200,0)
            ),
            'Parameter Categories'!$B$2:$G$200,
            5,
            FALSE
         )="x",
         "Yes",
         ""
      )
   ),
"")</f>
        <v>No</v>
      </c>
    </row>
    <row r="91" spans="1:3" x14ac:dyDescent="0.3">
      <c r="A91" s="53" t="str">
        <f>INDEX(SharedParams[Name],ROW(B90))</f>
        <v>DPP_ASD_SAI_db</v>
      </c>
      <c r="B91" s="53" t="str">
        <f>IFERROR(
   VLOOKUP(
      INDEX('Manual workflow'!$B$2:$B$200,
             MATCH($A91,'Manual workflow'!$A$2:$A$200,0)
      ),
      'Built In Parameter groups'!$A$2:$C$200,
      2,
      FALSE
   ),
"")</f>
        <v>General</v>
      </c>
      <c r="C91" s="53" t="str">
        <f>IFERROR(
   IF(
      VLOOKUP(
         INDEX('Shared parameters'!$A$2:$A$200,
                MATCH($A91,'Shared parameters'!$B$2:$B$200,0)
         ),
         'Parameter Categories'!$B$2:$G$200,
         6,
         FALSE
      )="x",
      "No",
      IF(
         VLOOKUP(
            INDEX('Shared parameters'!$A$2:$A$200,
                   MATCH($A91,'Shared parameters'!$B$2:$B$200,0)
            ),
            'Parameter Categories'!$B$2:$G$200,
            5,
            FALSE
         )="x",
         "Yes",
         ""
      )
   ),
"")</f>
        <v>No</v>
      </c>
    </row>
    <row r="92" spans="1:3" x14ac:dyDescent="0.3">
      <c r="A92" s="53" t="str">
        <f>INDEX(SharedParams[Name],ROW(B91))</f>
        <v>DPP_ASD_Color</v>
      </c>
      <c r="B92" s="53" t="str">
        <f>IFERROR(
   VLOOKUP(
      INDEX('Manual workflow'!$B$2:$B$200,
             MATCH($A92,'Manual workflow'!$A$2:$A$200,0)
      ),
      'Built In Parameter groups'!$A$2:$C$200,
      2,
      FALSE
   ),
"")</f>
        <v>Visualization</v>
      </c>
      <c r="C92" s="53" t="str">
        <f>IFERROR(
   IF(
      VLOOKUP(
         INDEX('Shared parameters'!$A$2:$A$200,
                MATCH($A92,'Shared parameters'!$B$2:$B$200,0)
         ),
         'Parameter Categories'!$B$2:$G$200,
         6,
         FALSE
      )="x",
      "No",
      IF(
         VLOOKUP(
            INDEX('Shared parameters'!$A$2:$A$200,
                   MATCH($A92,'Shared parameters'!$B$2:$B$200,0)
            ),
            'Parameter Categories'!$B$2:$G$200,
            5,
            FALSE
         )="x",
         "Yes",
         ""
      )
   ),
"")</f>
        <v>Yes</v>
      </c>
    </row>
    <row r="93" spans="1:3" x14ac:dyDescent="0.3">
      <c r="A93" s="53" t="str">
        <f>INDEX(SharedParams[Name],ROW(B92))</f>
        <v>DPP_ASD_Odor</v>
      </c>
      <c r="B93" s="53" t="str">
        <f>IFERROR(
   VLOOKUP(
      INDEX('Manual workflow'!$B$2:$B$200,
             MATCH($A93,'Manual workflow'!$A$2:$A$200,0)
      ),
      'Built In Parameter groups'!$A$2:$C$200,
      2,
      FALSE
   ),
"")</f>
        <v>Visualization</v>
      </c>
      <c r="C93" s="53" t="str">
        <f>IFERROR(
   IF(
      VLOOKUP(
         INDEX('Shared parameters'!$A$2:$A$200,
                MATCH($A93,'Shared parameters'!$B$2:$B$200,0)
         ),
         'Parameter Categories'!$B$2:$G$200,
         6,
         FALSE
      )="x",
      "No",
      IF(
         VLOOKUP(
            INDEX('Shared parameters'!$A$2:$A$200,
                   MATCH($A93,'Shared parameters'!$B$2:$B$200,0)
            ),
            'Parameter Categories'!$B$2:$G$200,
            5,
            FALSE
         )="x",
         "Yes",
         ""
      )
   ),
"")</f>
        <v>Yes</v>
      </c>
    </row>
    <row r="94" spans="1:3" x14ac:dyDescent="0.3">
      <c r="A94" s="53" t="str">
        <f>INDEX(SharedParams[Name],ROW(B93))</f>
        <v>DPP_ASD_Texture</v>
      </c>
      <c r="B94" s="53" t="str">
        <f>IFERROR(
   VLOOKUP(
      INDEX('Manual workflow'!$B$2:$B$200,
             MATCH($A94,'Manual workflow'!$A$2:$A$200,0)
      ),
      'Built In Parameter groups'!$A$2:$C$200,
      2,
      FALSE
   ),
"")</f>
        <v>Visualization</v>
      </c>
      <c r="C94" s="53" t="str">
        <f>IFERROR(
   IF(
      VLOOKUP(
         INDEX('Shared parameters'!$A$2:$A$200,
                MATCH($A94,'Shared parameters'!$B$2:$B$200,0)
         ),
         'Parameter Categories'!$B$2:$G$200,
         6,
         FALSE
      )="x",
      "No",
      IF(
         VLOOKUP(
            INDEX('Shared parameters'!$A$2:$A$200,
                   MATCH($A94,'Shared parameters'!$B$2:$B$200,0)
            ),
            'Parameter Categories'!$B$2:$G$200,
            5,
            FALSE
         )="x",
         "Yes",
         ""
      )
   ),
"")</f>
        <v>Yes</v>
      </c>
    </row>
    <row r="95" spans="1:3" x14ac:dyDescent="0.3">
      <c r="A95" s="53" t="str">
        <f>INDEX(SharedParams[Name],ROW(B94))</f>
        <v>DPP_ASD_Temp</v>
      </c>
      <c r="B95" s="53" t="str">
        <f>IFERROR(
   VLOOKUP(
      INDEX('Manual workflow'!$B$2:$B$200,
             MATCH($A95,'Manual workflow'!$A$2:$A$200,0)
      ),
      'Built In Parameter groups'!$A$2:$C$200,
      2,
      FALSE
   ),
"")</f>
        <v>Visualization</v>
      </c>
      <c r="C95" s="53" t="str">
        <f>IFERROR(
   IF(
      VLOOKUP(
         INDEX('Shared parameters'!$A$2:$A$200,
                MATCH($A95,'Shared parameters'!$B$2:$B$200,0)
         ),
         'Parameter Categories'!$B$2:$G$200,
         6,
         FALSE
      )="x",
      "No",
      IF(
         VLOOKUP(
            INDEX('Shared parameters'!$A$2:$A$200,
                   MATCH($A95,'Shared parameters'!$B$2:$B$200,0)
            ),
            'Parameter Categories'!$B$2:$G$200,
            5,
            FALSE
         )="x",
         "Yes",
         ""
      )
   ),
"")</f>
        <v>Yes</v>
      </c>
    </row>
    <row r="96" spans="1:3" x14ac:dyDescent="0.3">
      <c r="A96" s="53" t="str">
        <f>INDEX(SharedParams[Name],ROW(B95))</f>
        <v>DPP_ASD_ClimateSuitability</v>
      </c>
      <c r="B96" s="53" t="str">
        <f>IFERROR(
   VLOOKUP(
      INDEX('Manual workflow'!$B$2:$B$200,
             MATCH($A96,'Manual workflow'!$A$2:$A$200,0)
      ),
      'Built In Parameter groups'!$A$2:$C$200,
      2,
      FALSE
   ),
"")</f>
        <v>Other</v>
      </c>
      <c r="C96" s="53" t="str">
        <f>IFERROR(
   IF(
      VLOOKUP(
         INDEX('Shared parameters'!$A$2:$A$200,
                MATCH($A96,'Shared parameters'!$B$2:$B$200,0)
         ),
         'Parameter Categories'!$B$2:$G$200,
         6,
         FALSE
      )="x",
      "No",
      IF(
         VLOOKUP(
            INDEX('Shared parameters'!$A$2:$A$200,
                   MATCH($A96,'Shared parameters'!$B$2:$B$200,0)
            ),
            'Parameter Categories'!$B$2:$G$200,
            5,
            FALSE
         )="x",
         "Yes",
         ""
      )
   ),
"")</f>
        <v>Yes</v>
      </c>
    </row>
    <row r="97" spans="1:3" x14ac:dyDescent="0.3">
      <c r="A97" s="53" t="str">
        <f>INDEX(SharedParams[Name],ROW(B96))</f>
        <v>DPP_ASD_AgriculturalValue</v>
      </c>
      <c r="B97" s="53" t="str">
        <f>IFERROR(
   VLOOKUP(
      INDEX('Manual workflow'!$B$2:$B$200,
             MATCH($A97,'Manual workflow'!$A$2:$A$200,0)
      ),
      'Built In Parameter groups'!$A$2:$C$200,
      2,
      FALSE
   ),
"")</f>
        <v>Other</v>
      </c>
      <c r="C97" s="53" t="str">
        <f>IFERROR(
   IF(
      VLOOKUP(
         INDEX('Shared parameters'!$A$2:$A$200,
                MATCH($A97,'Shared parameters'!$B$2:$B$200,0)
         ),
         'Parameter Categories'!$B$2:$G$200,
         6,
         FALSE
      )="x",
      "No",
      IF(
         VLOOKUP(
            INDEX('Shared parameters'!$A$2:$A$200,
                   MATCH($A97,'Shared parameters'!$B$2:$B$200,0)
            ),
            'Parameter Categories'!$B$2:$G$200,
            5,
            FALSE
         )="x",
         "Yes",
         ""
      )
   ),
"")</f>
        <v>Yes</v>
      </c>
    </row>
    <row r="98" spans="1:3" x14ac:dyDescent="0.3">
      <c r="A98" s="53" t="str">
        <f>INDEX(SharedParams[Name],ROW(B97))</f>
        <v>DPP_ASD_ResourseAvailability</v>
      </c>
      <c r="B98" s="53" t="str">
        <f>IFERROR(
   VLOOKUP(
      INDEX('Manual workflow'!$B$2:$B$200,
             MATCH($A98,'Manual workflow'!$A$2:$A$200,0)
      ),
      'Built In Parameter groups'!$A$2:$C$200,
      2,
      FALSE
   ),
"")</f>
        <v>Other</v>
      </c>
      <c r="C98" s="53" t="str">
        <f>IFERROR(
   IF(
      VLOOKUP(
         INDEX('Shared parameters'!$A$2:$A$200,
                MATCH($A98,'Shared parameters'!$B$2:$B$200,0)
         ),
         'Parameter Categories'!$B$2:$G$200,
         6,
         FALSE
      )="x",
      "No",
      IF(
         VLOOKUP(
            INDEX('Shared parameters'!$A$2:$A$200,
                   MATCH($A98,'Shared parameters'!$B$2:$B$200,0)
            ),
            'Parameter Categories'!$B$2:$G$200,
            5,
            FALSE
         )="x",
         "Yes",
         ""
      )
   ),
"")</f>
        <v>Yes</v>
      </c>
    </row>
    <row r="99" spans="1:3" x14ac:dyDescent="0.3">
      <c r="A99" s="53" t="str">
        <f>INDEX(SharedParams[Name],ROW(B98))</f>
        <v>DPP_ASD_Aging</v>
      </c>
      <c r="B99" s="53" t="str">
        <f>IFERROR(
   VLOOKUP(
      INDEX('Manual workflow'!$B$2:$B$200,
             MATCH($A99,'Manual workflow'!$A$2:$A$200,0)
      ),
      'Built In Parameter groups'!$A$2:$C$200,
      2,
      FALSE
   ),
"")</f>
        <v>Other</v>
      </c>
      <c r="C99" s="53" t="str">
        <f>IFERROR(
   IF(
      VLOOKUP(
         INDEX('Shared parameters'!$A$2:$A$200,
                MATCH($A99,'Shared parameters'!$B$2:$B$200,0)
         ),
         'Parameter Categories'!$B$2:$G$200,
         6,
         FALSE
      )="x",
      "No",
      IF(
         VLOOKUP(
            INDEX('Shared parameters'!$A$2:$A$200,
                   MATCH($A99,'Shared parameters'!$B$2:$B$200,0)
            ),
            'Parameter Categories'!$B$2:$G$200,
            5,
            FALSE
         )="x",
         "Yes",
         ""
      )
   ),
"")</f>
        <v>Yes</v>
      </c>
    </row>
    <row r="100" spans="1:3" x14ac:dyDescent="0.3">
      <c r="A100" s="53" t="str">
        <f>INDEX(SharedParams[Name],ROW(B99))</f>
        <v>DPP_ASD_Architectural</v>
      </c>
      <c r="B100" s="53" t="str">
        <f>IFERROR(
   VLOOKUP(
      INDEX('Manual workflow'!$B$2:$B$200,
             MATCH($A100,'Manual workflow'!$A$2:$A$200,0)
      ),
      'Built In Parameter groups'!$A$2:$C$200,
      2,
      FALSE
   ),
"")</f>
        <v>Other</v>
      </c>
      <c r="C100" s="53" t="str">
        <f>IFERROR(
   IF(
      VLOOKUP(
         INDEX('Shared parameters'!$A$2:$A$200,
                MATCH($A100,'Shared parameters'!$B$2:$B$200,0)
         ),
         'Parameter Categories'!$B$2:$G$200,
         6,
         FALSE
      )="x",
      "No",
      IF(
         VLOOKUP(
            INDEX('Shared parameters'!$A$2:$A$200,
                   MATCH($A100,'Shared parameters'!$B$2:$B$200,0)
            ),
            'Parameter Categories'!$B$2:$G$200,
            5,
            FALSE
         )="x",
         "Yes",
         ""
      )
   ),
"")</f>
        <v>Yes</v>
      </c>
    </row>
    <row r="101" spans="1:3" x14ac:dyDescent="0.3">
      <c r="A101" s="53" t="str">
        <f>INDEX(SharedParams[Name],ROW(B100))</f>
        <v>DPP_ASD_Aesthetic</v>
      </c>
      <c r="B101" s="53" t="str">
        <f>IFERROR(
   VLOOKUP(
      INDEX('Manual workflow'!$B$2:$B$200,
             MATCH($A101,'Manual workflow'!$A$2:$A$200,0)
      ),
      'Built In Parameter groups'!$A$2:$C$200,
      2,
      FALSE
   ),
"")</f>
        <v>Other</v>
      </c>
      <c r="C101" s="53" t="str">
        <f>IFERROR(
   IF(
      VLOOKUP(
         INDEX('Shared parameters'!$A$2:$A$200,
                MATCH($A101,'Shared parameters'!$B$2:$B$200,0)
         ),
         'Parameter Categories'!$B$2:$G$200,
         6,
         FALSE
      )="x",
      "No",
      IF(
         VLOOKUP(
            INDEX('Shared parameters'!$A$2:$A$200,
                   MATCH($A101,'Shared parameters'!$B$2:$B$200,0)
            ),
            'Parameter Categories'!$B$2:$G$200,
            5,
            FALSE
         )="x",
         "Yes",
         ""
      )
   ),
"")</f>
        <v>No</v>
      </c>
    </row>
    <row r="102" spans="1:3" x14ac:dyDescent="0.3">
      <c r="A102" s="53" t="str">
        <f>INDEX(SharedParams[Name],ROW(B101))</f>
        <v>DPP_ASD_ComfortThermal</v>
      </c>
      <c r="B102" s="53" t="str">
        <f>IFERROR(
   VLOOKUP(
      INDEX('Manual workflow'!$B$2:$B$200,
             MATCH($A102,'Manual workflow'!$A$2:$A$200,0)
      ),
      'Built In Parameter groups'!$A$2:$C$200,
      2,
      FALSE
   ),
"")</f>
        <v>Text</v>
      </c>
      <c r="C102" s="53" t="str">
        <f>IFERROR(
   IF(
      VLOOKUP(
         INDEX('Shared parameters'!$A$2:$A$200,
                MATCH($A102,'Shared parameters'!$B$2:$B$200,0)
         ),
         'Parameter Categories'!$B$2:$G$200,
         6,
         FALSE
      )="x",
      "No",
      IF(
         VLOOKUP(
            INDEX('Shared parameters'!$A$2:$A$200,
                   MATCH($A102,'Shared parameters'!$B$2:$B$200,0)
            ),
            'Parameter Categories'!$B$2:$G$200,
            5,
            FALSE
         )="x",
         "Yes",
         ""
      )
   ),
"")</f>
        <v>No</v>
      </c>
    </row>
    <row r="103" spans="1:3" x14ac:dyDescent="0.3">
      <c r="A103" s="53" t="str">
        <f>INDEX(SharedParams[Name],ROW(B102))</f>
        <v>DPP_ASD_ComfortHygrothermal</v>
      </c>
      <c r="B103" s="53" t="str">
        <f>IFERROR(
   VLOOKUP(
      INDEX('Manual workflow'!$B$2:$B$200,
             MATCH($A103,'Manual workflow'!$A$2:$A$200,0)
      ),
      'Built In Parameter groups'!$A$2:$C$200,
      2,
      FALSE
   ),
"")</f>
        <v>Text</v>
      </c>
      <c r="C103" s="53" t="str">
        <f>IFERROR(
   IF(
      VLOOKUP(
         INDEX('Shared parameters'!$A$2:$A$200,
                MATCH($A103,'Shared parameters'!$B$2:$B$200,0)
         ),
         'Parameter Categories'!$B$2:$G$200,
         6,
         FALSE
      )="x",
      "No",
      IF(
         VLOOKUP(
            INDEX('Shared parameters'!$A$2:$A$200,
                   MATCH($A103,'Shared parameters'!$B$2:$B$200,0)
            ),
            'Parameter Categories'!$B$2:$G$200,
            5,
            FALSE
         )="x",
         "Yes",
         ""
      )
   ),
"")</f>
        <v>No</v>
      </c>
    </row>
    <row r="104" spans="1:3" x14ac:dyDescent="0.3">
      <c r="A104" s="53" t="str">
        <f>INDEX(SharedParams[Name],ROW(B103))</f>
        <v>DPP_ASD_ComfortAcoustic</v>
      </c>
      <c r="B104" s="53" t="str">
        <f>IFERROR(
   VLOOKUP(
      INDEX('Manual workflow'!$B$2:$B$200,
             MATCH($A104,'Manual workflow'!$A$2:$A$200,0)
      ),
      'Built In Parameter groups'!$A$2:$C$200,
      2,
      FALSE
   ),
"")</f>
        <v>Text</v>
      </c>
      <c r="C104" s="53" t="str">
        <f>IFERROR(
   IF(
      VLOOKUP(
         INDEX('Shared parameters'!$A$2:$A$200,
                MATCH($A104,'Shared parameters'!$B$2:$B$200,0)
         ),
         'Parameter Categories'!$B$2:$G$200,
         6,
         FALSE
      )="x",
      "No",
      IF(
         VLOOKUP(
            INDEX('Shared parameters'!$A$2:$A$200,
                   MATCH($A104,'Shared parameters'!$B$2:$B$200,0)
            ),
            'Parameter Categories'!$B$2:$G$200,
            5,
            FALSE
         )="x",
         "Yes",
         ""
      )
   ),
"")</f>
        <v>No</v>
      </c>
    </row>
    <row r="105" spans="1:3" x14ac:dyDescent="0.3">
      <c r="A105" s="53" t="str">
        <f>INDEX(SharedParams[Name],ROW(B104))</f>
        <v>DPP_ASD_ComfortMaterial</v>
      </c>
      <c r="B105" s="53" t="str">
        <f>IFERROR(
   VLOOKUP(
      INDEX('Manual workflow'!$B$2:$B$200,
             MATCH($A105,'Manual workflow'!$A$2:$A$200,0)
      ),
      'Built In Parameter groups'!$A$2:$C$200,
      2,
      FALSE
   ),
"")</f>
        <v>Text</v>
      </c>
      <c r="C105" s="53" t="str">
        <f>IFERROR(
   IF(
      VLOOKUP(
         INDEX('Shared parameters'!$A$2:$A$200,
                MATCH($A105,'Shared parameters'!$B$2:$B$200,0)
         ),
         'Parameter Categories'!$B$2:$G$200,
         6,
         FALSE
      )="x",
      "No",
      IF(
         VLOOKUP(
            INDEX('Shared parameters'!$A$2:$A$200,
                   MATCH($A105,'Shared parameters'!$B$2:$B$200,0)
            ),
            'Parameter Categories'!$B$2:$G$200,
            5,
            FALSE
         )="x",
         "Yes",
         ""
      )
   ),
"")</f>
        <v>No</v>
      </c>
    </row>
    <row r="106" spans="1:3" x14ac:dyDescent="0.3">
      <c r="A106" s="53" t="str">
        <f>INDEX(SharedParams[Name],ROW(B105))</f>
        <v>DPP_ASD_Craft</v>
      </c>
      <c r="B106" s="53" t="str">
        <f>IFERROR(
   VLOOKUP(
      INDEX('Manual workflow'!$B$2:$B$200,
             MATCH($A106,'Manual workflow'!$A$2:$A$200,0)
      ),
      'Built In Parameter groups'!$A$2:$C$200,
      2,
      FALSE
   ),
"")</f>
        <v>Other</v>
      </c>
      <c r="C106" s="53" t="str">
        <f>IFERROR(
   IF(
      VLOOKUP(
         INDEX('Shared parameters'!$A$2:$A$200,
                MATCH($A106,'Shared parameters'!$B$2:$B$200,0)
         ),
         'Parameter Categories'!$B$2:$G$200,
         6,
         FALSE
      )="x",
      "No",
      IF(
         VLOOKUP(
            INDEX('Shared parameters'!$A$2:$A$200,
                   MATCH($A106,'Shared parameters'!$B$2:$B$200,0)
            ),
            'Parameter Categories'!$B$2:$G$200,
            5,
            FALSE
         )="x",
         "Yes",
         ""
      )
   ),
"")</f>
        <v>Yes</v>
      </c>
    </row>
    <row r="107" spans="1:3" x14ac:dyDescent="0.3">
      <c r="A107" s="53" t="str">
        <f>INDEX(SharedParams[Name],ROW(B106))</f>
        <v>DPP_ASD_Symbolism</v>
      </c>
      <c r="B107" s="53" t="str">
        <f>IFERROR(
   VLOOKUP(
      INDEX('Manual workflow'!$B$2:$B$200,
             MATCH($A107,'Manual workflow'!$A$2:$A$200,0)
      ),
      'Built In Parameter groups'!$A$2:$C$200,
      2,
      FALSE
   ),
"")</f>
        <v>Other</v>
      </c>
      <c r="C107" s="53" t="str">
        <f>IFERROR(
   IF(
      VLOOKUP(
         INDEX('Shared parameters'!$A$2:$A$200,
                MATCH($A107,'Shared parameters'!$B$2:$B$200,0)
         ),
         'Parameter Categories'!$B$2:$G$200,
         6,
         FALSE
      )="x",
      "No",
      IF(
         VLOOKUP(
            INDEX('Shared parameters'!$A$2:$A$200,
                   MATCH($A107,'Shared parameters'!$B$2:$B$200,0)
            ),
            'Parameter Categories'!$B$2:$G$200,
            5,
            FALSE
         )="x",
         "Yes",
         ""
      )
   ),
"")</f>
        <v>Yes</v>
      </c>
    </row>
    <row r="108" spans="1:3" x14ac:dyDescent="0.3">
      <c r="A108" s="53" t="str">
        <f>INDEX(SharedParams[Name],ROW(B107))</f>
        <v>DPP_COD_UnitCost_EUR</v>
      </c>
      <c r="B108" s="53" t="str">
        <f>IFERROR(
   VLOOKUP(
      INDEX('Manual workflow'!$B$2:$B$200,
             MATCH($A108,'Manual workflow'!$A$2:$A$200,0)
      ),
      'Built In Parameter groups'!$A$2:$C$200,
      2,
      FALSE
   ),
"")</f>
        <v>Data</v>
      </c>
      <c r="C108" s="53" t="str">
        <f>IFERROR(
   IF(
      VLOOKUP(
         INDEX('Shared parameters'!$A$2:$A$200,
                MATCH($A108,'Shared parameters'!$B$2:$B$200,0)
         ),
         'Parameter Categories'!$B$2:$G$200,
         6,
         FALSE
      )="x",
      "No",
      IF(
         VLOOKUP(
            INDEX('Shared parameters'!$A$2:$A$200,
                   MATCH($A108,'Shared parameters'!$B$2:$B$200,0)
            ),
            'Parameter Categories'!$B$2:$G$200,
            5,
            FALSE
         )="x",
         "Yes",
         ""
      )
   ),
"")</f>
        <v>No</v>
      </c>
    </row>
    <row r="109" spans="1:3" x14ac:dyDescent="0.3">
      <c r="A109" s="53" t="str">
        <f>INDEX(SharedParams[Name],ROW(B108))</f>
        <v>DPP_COD_Assembly_EUR</v>
      </c>
      <c r="B109" s="53" t="str">
        <f>IFERROR(
   VLOOKUP(
      INDEX('Manual workflow'!$B$2:$B$200,
             MATCH($A109,'Manual workflow'!$A$2:$A$200,0)
      ),
      'Built In Parameter groups'!$A$2:$C$200,
      2,
      FALSE
   ),
"")</f>
        <v>Data</v>
      </c>
      <c r="C109" s="53" t="str">
        <f>IFERROR(
   IF(
      VLOOKUP(
         INDEX('Shared parameters'!$A$2:$A$200,
                MATCH($A109,'Shared parameters'!$B$2:$B$200,0)
         ),
         'Parameter Categories'!$B$2:$G$200,
         6,
         FALSE
      )="x",
      "No",
      IF(
         VLOOKUP(
            INDEX('Shared parameters'!$A$2:$A$200,
                   MATCH($A109,'Shared parameters'!$B$2:$B$200,0)
            ),
            'Parameter Categories'!$B$2:$G$200,
            5,
            FALSE
         )="x",
         "Yes",
         ""
      )
   ),
"")</f>
        <v>No</v>
      </c>
    </row>
    <row r="110" spans="1:3" x14ac:dyDescent="0.3">
      <c r="A110" s="53" t="str">
        <f>INDEX(SharedParams[Name],ROW(B109))</f>
        <v>DPP_COD_Maintenance_EUR</v>
      </c>
      <c r="B110" s="53" t="str">
        <f>IFERROR(
   VLOOKUP(
      INDEX('Manual workflow'!$B$2:$B$200,
             MATCH($A110,'Manual workflow'!$A$2:$A$200,0)
      ),
      'Built In Parameter groups'!$A$2:$C$200,
      2,
      FALSE
   ),
"")</f>
        <v>Data</v>
      </c>
      <c r="C110" s="53" t="str">
        <f>IFERROR(
   IF(
      VLOOKUP(
         INDEX('Shared parameters'!$A$2:$A$200,
                MATCH($A110,'Shared parameters'!$B$2:$B$200,0)
         ),
         'Parameter Categories'!$B$2:$G$200,
         6,
         FALSE
      )="x",
      "No",
      IF(
         VLOOKUP(
            INDEX('Shared parameters'!$A$2:$A$200,
                   MATCH($A110,'Shared parameters'!$B$2:$B$200,0)
            ),
            'Parameter Categories'!$B$2:$G$200,
            5,
            FALSE
         )="x",
         "Yes",
         ""
      )
   ),
"")</f>
        <v>No</v>
      </c>
    </row>
    <row r="111" spans="1:3" x14ac:dyDescent="0.3">
      <c r="A111" s="53" t="str">
        <f>INDEX(SharedParams[Name],ROW(B110))</f>
        <v>DPP_COD_CircularBenefit_EUR</v>
      </c>
      <c r="B111" s="53" t="str">
        <f>IFERROR(
   VLOOKUP(
      INDEX('Manual workflow'!$B$2:$B$200,
             MATCH($A111,'Manual workflow'!$A$2:$A$200,0)
      ),
      'Built In Parameter groups'!$A$2:$C$200,
      2,
      FALSE
   ),
"")</f>
        <v>Data</v>
      </c>
      <c r="C111" s="53" t="str">
        <f>IFERROR(
   IF(
      VLOOKUP(
         INDEX('Shared parameters'!$A$2:$A$200,
                MATCH($A111,'Shared parameters'!$B$2:$B$200,0)
         ),
         'Parameter Categories'!$B$2:$G$200,
         6,
         FALSE
      )="x",
      "No",
      IF(
         VLOOKUP(
            INDEX('Shared parameters'!$A$2:$A$200,
                   MATCH($A111,'Shared parameters'!$B$2:$B$200,0)
            ),
            'Parameter Categories'!$B$2:$G$200,
            5,
            FALSE
         )="x",
         "Yes",
         ""
      )
   ),
"")</f>
        <v>No</v>
      </c>
    </row>
    <row r="112" spans="1:3" x14ac:dyDescent="0.3">
      <c r="A112" s="53" t="str">
        <f>INDEX(SharedParams[Name],ROW(B111))</f>
        <v>DPP_COD_Replacement_EUR</v>
      </c>
      <c r="B112" s="53" t="str">
        <f>IFERROR(
   VLOOKUP(
      INDEX('Manual workflow'!$B$2:$B$200,
             MATCH($A112,'Manual workflow'!$A$2:$A$200,0)
      ),
      'Built In Parameter groups'!$A$2:$C$200,
      2,
      FALSE
   ),
"")</f>
        <v>Data</v>
      </c>
      <c r="C112" s="53" t="str">
        <f>IFERROR(
   IF(
      VLOOKUP(
         INDEX('Shared parameters'!$A$2:$A$200,
                MATCH($A112,'Shared parameters'!$B$2:$B$200,0)
         ),
         'Parameter Categories'!$B$2:$G$200,
         6,
         FALSE
      )="x",
      "No",
      IF(
         VLOOKUP(
            INDEX('Shared parameters'!$A$2:$A$200,
                   MATCH($A112,'Shared parameters'!$B$2:$B$200,0)
            ),
            'Parameter Categories'!$B$2:$G$200,
            5,
            FALSE
         )="x",
         "Yes",
         ""
      )
   ),
"")</f>
        <v>No</v>
      </c>
    </row>
    <row r="113" spans="1:3" x14ac:dyDescent="0.3">
      <c r="A113" s="53" t="str">
        <f>INDEX(SharedParams[Name],ROW(B112))</f>
        <v>DPP_COD_NPV_EUR</v>
      </c>
      <c r="B113" s="53" t="str">
        <f>IFERROR(
   VLOOKUP(
      INDEX('Manual workflow'!$B$2:$B$200,
             MATCH($A113,'Manual workflow'!$A$2:$A$200,0)
      ),
      'Built In Parameter groups'!$A$2:$C$200,
      2,
      FALSE
   ),
"")</f>
        <v>Data</v>
      </c>
      <c r="C113" s="53" t="str">
        <f>IFERROR(
   IF(
      VLOOKUP(
         INDEX('Shared parameters'!$A$2:$A$200,
                MATCH($A113,'Shared parameters'!$B$2:$B$200,0)
         ),
         'Parameter Categories'!$B$2:$G$200,
         6,
         FALSE
      )="x",
      "No",
      IF(
         VLOOKUP(
            INDEX('Shared parameters'!$A$2:$A$200,
                   MATCH($A113,'Shared parameters'!$B$2:$B$200,0)
            ),
            'Parameter Categories'!$B$2:$G$200,
            5,
            FALSE
         )="x",
         "Yes",
         ""
      )
   ),
"")</f>
        <v>No</v>
      </c>
    </row>
    <row r="114" spans="1:3" x14ac:dyDescent="0.3">
      <c r="A114" s="53" t="str">
        <f>INDEX(SharedParams[Name],ROW(B113))</f>
        <v>DPP_COD_NS_EUR</v>
      </c>
      <c r="B114" s="53" t="str">
        <f>IFERROR(
   VLOOKUP(
      INDEX('Manual workflow'!$B$2:$B$200,
             MATCH($A114,'Manual workflow'!$A$2:$A$200,0)
      ),
      'Built In Parameter groups'!$A$2:$C$200,
      2,
      FALSE
   ),
"")</f>
        <v>Data</v>
      </c>
      <c r="C114" s="53" t="str">
        <f>IFERROR(
   IF(
      VLOOKUP(
         INDEX('Shared parameters'!$A$2:$A$200,
                MATCH($A114,'Shared parameters'!$B$2:$B$200,0)
         ),
         'Parameter Categories'!$B$2:$G$200,
         6,
         FALSE
      )="x",
      "No",
      IF(
         VLOOKUP(
            INDEX('Shared parameters'!$A$2:$A$200,
                   MATCH($A114,'Shared parameters'!$B$2:$B$200,0)
            ),
            'Parameter Categories'!$B$2:$G$200,
            5,
            FALSE
         )="x",
         "Yes",
         ""
      )
   ),
"")</f>
        <v>No</v>
      </c>
    </row>
    <row r="115" spans="1:3" x14ac:dyDescent="0.3">
      <c r="A115" s="53" t="str">
        <f>INDEX(SharedParams[Name],ROW(B114))</f>
        <v>DPP_COD_PBP</v>
      </c>
      <c r="B115" s="53" t="str">
        <f>IFERROR(
   VLOOKUP(
      INDEX('Manual workflow'!$B$2:$B$200,
             MATCH($A115,'Manual workflow'!$A$2:$A$200,0)
      ),
      'Built In Parameter groups'!$A$2:$C$200,
      2,
      FALSE
   ),
"")</f>
        <v>Data</v>
      </c>
      <c r="C115" s="53" t="str">
        <f>IFERROR(
   IF(
      VLOOKUP(
         INDEX('Shared parameters'!$A$2:$A$200,
                MATCH($A115,'Shared parameters'!$B$2:$B$200,0)
         ),
         'Parameter Categories'!$B$2:$G$200,
         6,
         FALSE
      )="x",
      "No",
      IF(
         VLOOKUP(
            INDEX('Shared parameters'!$A$2:$A$200,
                   MATCH($A115,'Shared parameters'!$B$2:$B$200,0)
            ),
            'Parameter Categories'!$B$2:$G$200,
            5,
            FALSE
         )="x",
         "Yes",
         ""
      )
   ),
"")</f>
        <v>No</v>
      </c>
    </row>
    <row r="116" spans="1:3" x14ac:dyDescent="0.3">
      <c r="A116" s="53" t="str">
        <f>INDEX(SharedParams[Name],ROW(B115))</f>
        <v>DPP_COD_BenefitCost</v>
      </c>
      <c r="B116" s="53" t="str">
        <f>IFERROR(
   VLOOKUP(
      INDEX('Manual workflow'!$B$2:$B$200,
             MATCH($A116,'Manual workflow'!$A$2:$A$200,0)
      ),
      'Built In Parameter groups'!$A$2:$C$200,
      2,
      FALSE
   ),
"")</f>
        <v>Data</v>
      </c>
      <c r="C116" s="53" t="str">
        <f>IFERROR(
   IF(
      VLOOKUP(
         INDEX('Shared parameters'!$A$2:$A$200,
                MATCH($A116,'Shared parameters'!$B$2:$B$200,0)
         ),
         'Parameter Categories'!$B$2:$G$200,
         6,
         FALSE
      )="x",
      "No",
      IF(
         VLOOKUP(
            INDEX('Shared parameters'!$A$2:$A$200,
                   MATCH($A116,'Shared parameters'!$B$2:$B$200,0)
            ),
            'Parameter Categories'!$B$2:$G$200,
            5,
            FALSE
         )="x",
         "Yes",
         ""
      )
   ),
"")</f>
        <v>No</v>
      </c>
    </row>
    <row r="117" spans="1:3" x14ac:dyDescent="0.3">
      <c r="A117" s="53" t="str">
        <f>INDEX(SharedParams[Name],ROW(B116))</f>
        <v>DPP_COD_LCC_EUR</v>
      </c>
      <c r="B117" s="53" t="str">
        <f>IFERROR(
   VLOOKUP(
      INDEX('Manual workflow'!$B$2:$B$200,
             MATCH($A117,'Manual workflow'!$A$2:$A$200,0)
      ),
      'Built In Parameter groups'!$A$2:$C$200,
      2,
      FALSE
   ),
"")</f>
        <v>Data</v>
      </c>
      <c r="C117" s="53" t="str">
        <f>IFERROR(
   IF(
      VLOOKUP(
         INDEX('Shared parameters'!$A$2:$A$200,
                MATCH($A117,'Shared parameters'!$B$2:$B$200,0)
         ),
         'Parameter Categories'!$B$2:$G$200,
         6,
         FALSE
      )="x",
      "No",
      IF(
         VLOOKUP(
            INDEX('Shared parameters'!$A$2:$A$200,
                   MATCH($A117,'Shared parameters'!$B$2:$B$200,0)
            ),
            'Parameter Categories'!$B$2:$G$200,
            5,
            FALSE
         )="x",
         "Yes",
         ""
      )
   ),
"")</f>
        <v>No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7"/>
  <sheetViews>
    <sheetView workbookViewId="0">
      <selection activeCell="D6" sqref="D6"/>
    </sheetView>
  </sheetViews>
  <sheetFormatPr baseColWidth="10" defaultRowHeight="14.4" x14ac:dyDescent="0.3"/>
  <cols>
    <col min="1" max="1" width="34.77734375" style="53" customWidth="1"/>
    <col min="2" max="2" width="30.5546875" style="53" customWidth="1"/>
    <col min="3" max="16384" width="11.5546875" style="53"/>
  </cols>
  <sheetData>
    <row r="1" spans="1:4" x14ac:dyDescent="0.3">
      <c r="A1" s="148" t="s">
        <v>778</v>
      </c>
      <c r="B1" s="148" t="s">
        <v>783</v>
      </c>
    </row>
    <row r="2" spans="1:4" x14ac:dyDescent="0.3">
      <c r="A2" s="53" t="str">
        <f>INDEX(SharedParams[Name],ROW(B1))</f>
        <v>DPP_AUT_Name</v>
      </c>
      <c r="B2" s="53" t="str">
        <f>IFERROR(
    IF(
        ISNUMBER(
            VLOOKUP(
                INDEX('Shared parameters'!$A$2:$A$200,
                       MATCH($A2,'Shared parameters'!$B$2:$B$200,0)
                ),
                'Data Entry'!$A$2:$B$200,
                2,
                FALSE
            )
        ),
        VLOOKUP(
            INDEX('Shared parameters'!$A$2:$A$200,
                   MATCH($A2,'Shared parameters'!$B$2:$B$200,0)
            ),
            'Data Entry'!$A$2:$B$200,
            2,
            FALSE
        ),
        """" &amp;
        VLOOKUP(
            INDEX('Shared parameters'!$A$2:$A$200,
                   MATCH($A2,'Shared parameters'!$B$2:$B$200,0)
            ),
            'Data Entry'!$A$2:$B$200,
            2,
            FALSE
        ) &amp;
        """"
    ),
"")</f>
        <v>"Hempstone"</v>
      </c>
    </row>
    <row r="3" spans="1:4" x14ac:dyDescent="0.3">
      <c r="A3" s="53" t="str">
        <f>INDEX(SharedParams[Name],ROW(B2))</f>
        <v>DPP_AUT_ID</v>
      </c>
      <c r="B3" s="53" t="str">
        <f>IFERROR(
    IF(
        ISNUMBER(
            VLOOKUP(
                INDEX('Shared parameters'!$A$2:$A$200,
                       MATCH($A3,'Shared parameters'!$B$2:$B$200,0)
                ),
                'Data Entry'!$A$2:$B$200,
                2,
                FALSE
            )
        ),
        VLOOKUP(
            INDEX('Shared parameters'!$A$2:$A$200,
                   MATCH($A3,'Shared parameters'!$B$2:$B$200,0)
            ),
            'Data Entry'!$A$2:$B$200,
            2,
            FALSE
        ),
        """" &amp;
        VLOOKUP(
            INDEX('Shared parameters'!$A$2:$A$200,
                   MATCH($A3,'Shared parameters'!$B$2:$B$200,0)
            ),
            'Data Entry'!$A$2:$B$200,
            2,
            FALSE
        ) &amp;
        """"
    ),
"")</f>
        <v>"Z-17.25-1299"</v>
      </c>
    </row>
    <row r="4" spans="1:4" x14ac:dyDescent="0.3">
      <c r="A4" s="53" t="str">
        <f>INDEX(SharedParams[Name],ROW(B3))</f>
        <v>DPP_AUT_Image</v>
      </c>
      <c r="B4" s="53" t="str">
        <f>IFERROR(
    IF(
        ISNUMBER(
            VLOOKUP(
                INDEX('Shared parameters'!$A$2:$A$200,
                       MATCH($A4,'Shared parameters'!$B$2:$B$200,0)
                ),
                'Data Entry'!$A$2:$B$200,
                2,
                FALSE
            )
        ),
        VLOOKUP(
            INDEX('Shared parameters'!$A$2:$A$200,
                   MATCH($A4,'Shared parameters'!$B$2:$B$200,0)
            ),
            'Data Entry'!$A$2:$B$200,
            2,
            FALSE
        ),
        """" &amp;
        VLOOKUP(
            INDEX('Shared parameters'!$A$2:$A$200,
                   MATCH($A4,'Shared parameters'!$B$2:$B$200,0)
            ),
            'Data Entry'!$A$2:$B$200,
            2,
            FALSE
        ) &amp;
        """"
    ),
"")</f>
        <v>"..\..\werner schönthaler\hanfsteine Sch├Ânthaler Kopie.png"</v>
      </c>
    </row>
    <row r="5" spans="1:4" x14ac:dyDescent="0.3">
      <c r="A5" s="53" t="str">
        <f>INDEX(SharedParams[Name],ROW(B4))</f>
        <v>DPP_AUT_GUID</v>
      </c>
      <c r="B5" s="53" t="str">
        <f>IFERROR(
    IF(
        ISNUMBER(
            VLOOKUP(
                INDEX('Shared parameters'!$A$2:$A$200,
                       MATCH($A5,'Shared parameters'!$B$2:$B$200,0)
                ),
                'Data Entry'!$A$2:$B$200,
                2,
                FALSE
            )
        ),
        VLOOKUP(
            INDEX('Shared parameters'!$A$2:$A$200,
                   MATCH($A5,'Shared parameters'!$B$2:$B$200,0)
            ),
            'Data Entry'!$A$2:$B$200,
            2,
            FALSE
        ),
        """" &amp;
        VLOOKUP(
            INDEX('Shared parameters'!$A$2:$A$200,
                   MATCH($A5,'Shared parameters'!$B$2:$B$200,0)
            ),
            'Data Entry'!$A$2:$B$200,
            2,
            FALSE
        ) &amp;
        """"
    ),
"")</f>
        <v>""</v>
      </c>
    </row>
    <row r="6" spans="1:4" x14ac:dyDescent="0.3">
      <c r="A6" s="53" t="str">
        <f>INDEX(SharedParams[Name],ROW(B5))</f>
        <v>DPP_AUT_MaterialType</v>
      </c>
      <c r="B6" s="53" t="str">
        <f>IFERROR(
    IF(
        ISNUMBER(
            VLOOKUP(
                INDEX('Shared parameters'!$A$2:$A$200,
                       MATCH($A6,'Shared parameters'!$B$2:$B$200,0)
                ),
                'Data Entry'!$A$2:$B$200,
                2,
                FALSE
            )
        ),
        VLOOKUP(
            INDEX('Shared parameters'!$A$2:$A$200,
                   MATCH($A6,'Shared parameters'!$B$2:$B$200,0)
            ),
            'Data Entry'!$A$2:$B$200,
            2,
            FALSE
        ),
        """" &amp;
        VLOOKUP(
            INDEX('Shared parameters'!$A$2:$A$200,
                   MATCH($A6,'Shared parameters'!$B$2:$B$200,0)
            ),
            'Data Entry'!$A$2:$B$200,
            2,
            FALSE
        ) &amp;
        """"
    ),
"")</f>
        <v>"Type II"</v>
      </c>
      <c r="D6" s="35"/>
    </row>
    <row r="7" spans="1:4" x14ac:dyDescent="0.3">
      <c r="A7" s="53" t="str">
        <f>INDEX(SharedParams[Name],ROW(B6))</f>
        <v>DPP_AUT_Manufacturer</v>
      </c>
      <c r="B7" s="53" t="str">
        <f>IFERROR(
    IF(
        ISNUMBER(
            VLOOKUP(
                INDEX('Shared parameters'!$A$2:$A$200,
                       MATCH($A7,'Shared parameters'!$B$2:$B$200,0)
                ),
                'Data Entry'!$A$2:$B$200,
                2,
                FALSE
            )
        ),
        VLOOKUP(
            INDEX('Shared parameters'!$A$2:$A$200,
                   MATCH($A7,'Shared parameters'!$B$2:$B$200,0)
            ),
            'Data Entry'!$A$2:$B$200,
            2,
            FALSE
        ),
        """" &amp;
        VLOOKUP(
            INDEX('Shared parameters'!$A$2:$A$200,
                   MATCH($A7,'Shared parameters'!$B$2:$B$200,0)
            ),
            'Data Entry'!$A$2:$B$200,
            2,
            FALSE
        ) &amp;
        """"
    ),
"")</f>
        <v>"Schönthaler Bausteinwerk GmbH"</v>
      </c>
    </row>
    <row r="8" spans="1:4" x14ac:dyDescent="0.3">
      <c r="A8" s="53" t="str">
        <f>INDEX(SharedParams[Name],ROW(B7))</f>
        <v>DPP_AUT_Manufacturer_URL</v>
      </c>
      <c r="B8" s="53" t="str">
        <f>IFERROR(
    IF(
        ISNUMBER(
            VLOOKUP(
                INDEX('Shared parameters'!$A$2:$A$200,
                       MATCH($A8,'Shared parameters'!$B$2:$B$200,0)
                ),
                'Data Entry'!$A$2:$B$200,
                2,
                FALSE
            )
        ),
        VLOOKUP(
            INDEX('Shared parameters'!$A$2:$A$200,
                   MATCH($A8,'Shared parameters'!$B$2:$B$200,0)
            ),
            'Data Entry'!$A$2:$B$200,
            2,
            FALSE
        ),
        """" &amp;
        VLOOKUP(
            INDEX('Shared parameters'!$A$2:$A$200,
                   MATCH($A8,'Shared parameters'!$B$2:$B$200,0)
            ),
            'Data Entry'!$A$2:$B$200,
            2,
            FALSE
        ) &amp;
        """"
    ),
"")</f>
        <v>"https://www.hanfstein.eu/"</v>
      </c>
    </row>
    <row r="9" spans="1:4" x14ac:dyDescent="0.3">
      <c r="A9" s="53" t="str">
        <f>INDEX(SharedParams[Name],ROW(B8))</f>
        <v>DPP_AUT_Distribuitor</v>
      </c>
      <c r="B9" s="53" t="str">
        <f>IFERROR(
    IF(
        ISNUMBER(
            VLOOKUP(
                INDEX('Shared parameters'!$A$2:$A$200,
                       MATCH($A9,'Shared parameters'!$B$2:$B$200,0)
                ),
                'Data Entry'!$A$2:$B$200,
                2,
                FALSE
            )
        ),
        VLOOKUP(
            INDEX('Shared parameters'!$A$2:$A$200,
                   MATCH($A9,'Shared parameters'!$B$2:$B$200,0)
            ),
            'Data Entry'!$A$2:$B$200,
            2,
            FALSE
        ),
        """" &amp;
        VLOOKUP(
            INDEX('Shared parameters'!$A$2:$A$200,
                   MATCH($A9,'Shared parameters'!$B$2:$B$200,0)
            ),
            'Data Entry'!$A$2:$B$200,
            2,
            FALSE
        ) &amp;
        """"
    ),
"")</f>
        <v>"NA"</v>
      </c>
    </row>
    <row r="10" spans="1:4" x14ac:dyDescent="0.3">
      <c r="A10" s="53" t="str">
        <f>INDEX(SharedParams[Name],ROW(B9))</f>
        <v>DPP_AUT_Distribuitor_URL</v>
      </c>
      <c r="B10" s="53" t="str">
        <f>IFERROR(
    IF(
        ISNUMBER(
            VLOOKUP(
                INDEX('Shared parameters'!$A$2:$A$200,
                       MATCH($A10,'Shared parameters'!$B$2:$B$200,0)
                ),
                'Data Entry'!$A$2:$B$200,
                2,
                FALSE
            )
        ),
        VLOOKUP(
            INDEX('Shared parameters'!$A$2:$A$200,
                   MATCH($A10,'Shared parameters'!$B$2:$B$200,0)
            ),
            'Data Entry'!$A$2:$B$200,
            2,
            FALSE
        ),
        """" &amp;
        VLOOKUP(
            INDEX('Shared parameters'!$A$2:$A$200,
                   MATCH($A10,'Shared parameters'!$B$2:$B$200,0)
            ),
            'Data Entry'!$A$2:$B$200,
            2,
            FALSE
        ) &amp;
        """"
    ),
"")</f>
        <v>"NA"</v>
      </c>
    </row>
    <row r="11" spans="1:4" x14ac:dyDescent="0.3">
      <c r="A11" s="53" t="str">
        <f>INDEX(SharedParams[Name],ROW(B10))</f>
        <v>DPP_AUR_Supplier</v>
      </c>
      <c r="B11" s="53" t="str">
        <f>IFERROR(
    IF(
        ISNUMBER(
            VLOOKUP(
                INDEX('Shared parameters'!$A$2:$A$200,
                       MATCH($A11,'Shared parameters'!$B$2:$B$200,0)
                ),
                'Data Entry'!$A$2:$B$200,
                2,
                FALSE
            )
        ),
        VLOOKUP(
            INDEX('Shared parameters'!$A$2:$A$200,
                   MATCH($A11,'Shared parameters'!$B$2:$B$200,0)
            ),
            'Data Entry'!$A$2:$B$200,
            2,
            FALSE
        ),
        """" &amp;
        VLOOKUP(
            INDEX('Shared parameters'!$A$2:$A$200,
                   MATCH($A11,'Shared parameters'!$B$2:$B$200,0)
            ),
            'Data Entry'!$A$2:$B$200,
            2,
            FALSE
        ) &amp;
        """"
    ),
"")</f>
        <v>"NA"</v>
      </c>
    </row>
    <row r="12" spans="1:4" x14ac:dyDescent="0.3">
      <c r="A12" s="53" t="str">
        <f>INDEX(SharedParams[Name],ROW(B11))</f>
        <v>DPP_AUR_Supplier_URL</v>
      </c>
      <c r="B12" s="53" t="str">
        <f>IFERROR(
    IF(
        ISNUMBER(
            VLOOKUP(
                INDEX('Shared parameters'!$A$2:$A$200,
                       MATCH($A12,'Shared parameters'!$B$2:$B$200,0)
                ),
                'Data Entry'!$A$2:$B$200,
                2,
                FALSE
            )
        ),
        VLOOKUP(
            INDEX('Shared parameters'!$A$2:$A$200,
                   MATCH($A12,'Shared parameters'!$B$2:$B$200,0)
            ),
            'Data Entry'!$A$2:$B$200,
            2,
            FALSE
        ),
        """" &amp;
        VLOOKUP(
            INDEX('Shared parameters'!$A$2:$A$200,
                   MATCH($A12,'Shared parameters'!$B$2:$B$200,0)
            ),
            'Data Entry'!$A$2:$B$200,
            2,
            FALSE
        ) &amp;
        """"
    ),
"")</f>
        <v>"NA"</v>
      </c>
    </row>
    <row r="13" spans="1:4" x14ac:dyDescent="0.3">
      <c r="A13" s="53" t="str">
        <f>INDEX(SharedParams[Name],ROW(B12))</f>
        <v>DPP_AUT_TransRoute</v>
      </c>
      <c r="B13" s="53" t="str">
        <f>IFERROR(
    IF(
        ISNUMBER(
            VLOOKUP(
                INDEX('Shared parameters'!$A$2:$A$200,
                       MATCH($A13,'Shared parameters'!$B$2:$B$200,0)
                ),
                'Data Entry'!$A$2:$B$200,
                2,
                FALSE
            )
        ),
        VLOOKUP(
            INDEX('Shared parameters'!$A$2:$A$200,
                   MATCH($A13,'Shared parameters'!$B$2:$B$200,0)
            ),
            'Data Entry'!$A$2:$B$200,
            2,
            FALSE
        ),
        """" &amp;
        VLOOKUP(
            INDEX('Shared parameters'!$A$2:$A$200,
                   MATCH($A13,'Shared parameters'!$B$2:$B$200,0)
            ),
            'Data Entry'!$A$2:$B$200,
            2,
            FALSE
        ) &amp;
        """"
    ),
"")</f>
        <v>""</v>
      </c>
    </row>
    <row r="14" spans="1:4" x14ac:dyDescent="0.3">
      <c r="A14" s="53" t="str">
        <f>INDEX(SharedParams[Name],ROW(B13))</f>
        <v>DPP_AUT_Traceability</v>
      </c>
      <c r="B14" s="53" t="str">
        <f>IFERROR(
    IF(
        ISNUMBER(
            VLOOKUP(
                INDEX('Shared parameters'!$A$2:$A$200,
                       MATCH($A14,'Shared parameters'!$B$2:$B$200,0)
                ),
                'Data Entry'!$A$2:$B$200,
                2,
                FALSE
            )
        ),
        VLOOKUP(
            INDEX('Shared parameters'!$A$2:$A$200,
                   MATCH($A14,'Shared parameters'!$B$2:$B$200,0)
            ),
            'Data Entry'!$A$2:$B$200,
            2,
            FALSE
        ),
        """" &amp;
        VLOOKUP(
            INDEX('Shared parameters'!$A$2:$A$200,
                   MATCH($A14,'Shared parameters'!$B$2:$B$200,0)
            ),
            'Data Entry'!$A$2:$B$200,
            2,
            FALSE
        ) &amp;
        """"
    ),
"")</f>
        <v>"a1b2c3d4-e5f6-7890-1234-567890abcdef"</v>
      </c>
    </row>
    <row r="15" spans="1:4" x14ac:dyDescent="0.3">
      <c r="A15" s="53" t="str">
        <f>INDEX(SharedParams[Name],ROW(B14))</f>
        <v>DPP_AUT_Origin</v>
      </c>
      <c r="B15" s="53" t="str">
        <f>IFERROR(
    IF(
        ISNUMBER(
            VLOOKUP(
                INDEX('Shared parameters'!$A$2:$A$200,
                       MATCH($A15,'Shared parameters'!$B$2:$B$200,0)
                ),
                'Data Entry'!$A$2:$B$200,
                2,
                FALSE
            )
        ),
        VLOOKUP(
            INDEX('Shared parameters'!$A$2:$A$200,
                   MATCH($A15,'Shared parameters'!$B$2:$B$200,0)
            ),
            'Data Entry'!$A$2:$B$200,
            2,
            FALSE
        ),
        """" &amp;
        VLOOKUP(
            INDEX('Shared parameters'!$A$2:$A$200,
                   MATCH($A15,'Shared parameters'!$B$2:$B$200,0)
            ),
            'Data Entry'!$A$2:$B$200,
            2,
            FALSE
        ) &amp;
        """"
    ),
"")</f>
        <v>"39020 Oris (BZ)"</v>
      </c>
    </row>
    <row r="16" spans="1:4" x14ac:dyDescent="0.3">
      <c r="A16" s="53" t="str">
        <f>INDEX(SharedParams[Name],ROW(B15))</f>
        <v>DPP_AUT_Version</v>
      </c>
      <c r="B16" s="53" t="str">
        <f>IFERROR(
    IF(
        ISNUMBER(
            VLOOKUP(
                INDEX('Shared parameters'!$A$2:$A$200,
                       MATCH($A16,'Shared parameters'!$B$2:$B$200,0)
                ),
                'Data Entry'!$A$2:$B$200,
                2,
                FALSE
            )
        ),
        VLOOKUP(
            INDEX('Shared parameters'!$A$2:$A$200,
                   MATCH($A16,'Shared parameters'!$B$2:$B$200,0)
            ),
            'Data Entry'!$A$2:$B$200,
            2,
            FALSE
        ),
        """" &amp;
        VLOOKUP(
            INDEX('Shared parameters'!$A$2:$A$200,
                   MATCH($A16,'Shared parameters'!$B$2:$B$200,0)
            ),
            'Data Entry'!$A$2:$B$200,
            2,
            FALSE
        ) &amp;
        """"
    ),
"")</f>
        <v>"HKZ 335"</v>
      </c>
    </row>
    <row r="17" spans="1:2" x14ac:dyDescent="0.3">
      <c r="A17" s="53" t="str">
        <f>INDEX(SharedParams[Name],ROW(B16))</f>
        <v>DPP_MAT_Material</v>
      </c>
      <c r="B17" s="53" t="str">
        <f>IFERROR(
    IF(
        ISNUMBER(
            VLOOKUP(
                INDEX('Shared parameters'!$A$2:$A$200,
                       MATCH($A17,'Shared parameters'!$B$2:$B$200,0)
                ),
                'Data Entry'!$A$2:$B$200,
                2,
                FALSE
            )
        ),
        VLOOKUP(
            INDEX('Shared parameters'!$A$2:$A$200,
                   MATCH($A17,'Shared parameters'!$B$2:$B$200,0)
            ),
            'Data Entry'!$A$2:$B$200,
            2,
            FALSE
        ),
        """" &amp;
        VLOOKUP(
            INDEX('Shared parameters'!$A$2:$A$200,
                   MATCH($A17,'Shared parameters'!$B$2:$B$200,0)
            ),
            'Data Entry'!$A$2:$B$200,
            2,
            FALSE
        ) &amp;
        """"
    ),
"")</f>
        <v>"Infill masonry made of hemp stones "</v>
      </c>
    </row>
    <row r="18" spans="1:2" x14ac:dyDescent="0.3">
      <c r="A18" s="53" t="str">
        <f>INDEX(SharedParams[Name],ROW(B17))</f>
        <v>DPP_MAT_Components</v>
      </c>
      <c r="B18" s="53" t="str">
        <f>IFERROR(
    IF(
        ISNUMBER(
            VLOOKUP(
                INDEX('Shared parameters'!$A$2:$A$200,
                       MATCH($A18,'Shared parameters'!$B$2:$B$200,0)
                ),
                'Data Entry'!$A$2:$B$200,
                2,
                FALSE
            )
        ),
        VLOOKUP(
            INDEX('Shared parameters'!$A$2:$A$200,
                   MATCH($A18,'Shared parameters'!$B$2:$B$200,0)
            ),
            'Data Entry'!$A$2:$B$200,
            2,
            FALSE
        ),
        """" &amp;
        VLOOKUP(
            INDEX('Shared parameters'!$A$2:$A$200,
                   MATCH($A18,'Shared parameters'!$B$2:$B$200,0)
            ),
            'Data Entry'!$A$2:$B$200,
            2,
            FALSE
        ) &amp;
        """"
    ),
"")</f>
        <v>"8 hempstone bricks of 8x50x20 with a 1/3 displacement with hemp-lime mortar "</v>
      </c>
    </row>
    <row r="19" spans="1:2" x14ac:dyDescent="0.3">
      <c r="A19" s="53" t="str">
        <f>INDEX(SharedParams[Name],ROW(B18))</f>
        <v>DPP_MAT_Composition</v>
      </c>
      <c r="B19" s="53" t="str">
        <f>IFERROR(
    IF(
        ISNUMBER(
            VLOOKUP(
                INDEX('Shared parameters'!$A$2:$A$200,
                       MATCH($A19,'Shared parameters'!$B$2:$B$200,0)
                ),
                'Data Entry'!$A$2:$B$200,
                2,
                FALSE
            )
        ),
        VLOOKUP(
            INDEX('Shared parameters'!$A$2:$A$200,
                   MATCH($A19,'Shared parameters'!$B$2:$B$200,0)
            ),
            'Data Entry'!$A$2:$B$200,
            2,
            FALSE
        ),
        """" &amp;
        VLOOKUP(
            INDEX('Shared parameters'!$A$2:$A$200,
                   MATCH($A19,'Shared parameters'!$B$2:$B$200,0)
            ),
            'Data Entry'!$A$2:$B$200,
            2,
            FALSE
        ) &amp;
        """"
    ),
"")</f>
        <v>"Hemp-lime composite "</v>
      </c>
    </row>
    <row r="20" spans="1:2" x14ac:dyDescent="0.3">
      <c r="A20" s="53" t="str">
        <f>INDEX(SharedParams[Name],ROW(B19))</f>
        <v>DPP_AUT_TypeDimension</v>
      </c>
      <c r="B20" s="53" t="str">
        <f>IFERROR(
    IF(
        ISNUMBER(
            VLOOKUP(
                INDEX('Shared parameters'!$A$2:$A$200,
                       MATCH($A20,'Shared parameters'!$B$2:$B$200,0)
                ),
                'Data Entry'!$A$2:$B$200,
                2,
                FALSE
            )
        ),
        VLOOKUP(
            INDEX('Shared parameters'!$A$2:$A$200,
                   MATCH($A20,'Shared parameters'!$B$2:$B$200,0)
            ),
            'Data Entry'!$A$2:$B$200,
            2,
            FALSE
        ),
        """" &amp;
        VLOOKUP(
            INDEX('Shared parameters'!$A$2:$A$200,
                   MATCH($A20,'Shared parameters'!$B$2:$B$200,0)
            ),
            'Data Entry'!$A$2:$B$200,
            2,
            FALSE
        ) &amp;
        """"
    ),
"")</f>
        <v>"8x50x20"</v>
      </c>
    </row>
    <row r="21" spans="1:2" x14ac:dyDescent="0.3">
      <c r="A21" s="53" t="str">
        <f>INDEX(SharedParams[Name],ROW(B20))</f>
        <v>DPP_DIM_Height_mm</v>
      </c>
      <c r="B21" s="53">
        <f>IFERROR(
    IF(
        ISNUMBER(
            VLOOKUP(
                INDEX('Shared parameters'!$A$2:$A$200,
                       MATCH($A21,'Shared parameters'!$B$2:$B$200,0)
                ),
                'Data Entry'!$A$2:$B$200,
                2,
                FALSE
            )
        ),
        VLOOKUP(
            INDEX('Shared parameters'!$A$2:$A$200,
                   MATCH($A21,'Shared parameters'!$B$2:$B$200,0)
            ),
            'Data Entry'!$A$2:$B$200,
            2,
            FALSE
        ),
        """" &amp;
        VLOOKUP(
            INDEX('Shared parameters'!$A$2:$A$200,
                   MATCH($A21,'Shared parameters'!$B$2:$B$200,0)
            ),
            'Data Entry'!$A$2:$B$200,
            2,
            FALSE
        ) &amp;
        """"
    ),
"")</f>
        <v>200</v>
      </c>
    </row>
    <row r="22" spans="1:2" x14ac:dyDescent="0.3">
      <c r="A22" s="53" t="str">
        <f>INDEX(SharedParams[Name],ROW(B21))</f>
        <v>DPP_DIM_Length_mm</v>
      </c>
      <c r="B22" s="53">
        <f>IFERROR(
    IF(
        ISNUMBER(
            VLOOKUP(
                INDEX('Shared parameters'!$A$2:$A$200,
                       MATCH($A22,'Shared parameters'!$B$2:$B$200,0)
                ),
                'Data Entry'!$A$2:$B$200,
                2,
                FALSE
            )
        ),
        VLOOKUP(
            INDEX('Shared parameters'!$A$2:$A$200,
                   MATCH($A22,'Shared parameters'!$B$2:$B$200,0)
            ),
            'Data Entry'!$A$2:$B$200,
            2,
            FALSE
        ),
        """" &amp;
        VLOOKUP(
            INDEX('Shared parameters'!$A$2:$A$200,
                   MATCH($A22,'Shared parameters'!$B$2:$B$200,0)
            ),
            'Data Entry'!$A$2:$B$200,
            2,
            FALSE
        ) &amp;
        """"
    ),
"")</f>
        <v>80</v>
      </c>
    </row>
    <row r="23" spans="1:2" x14ac:dyDescent="0.3">
      <c r="A23" s="53" t="str">
        <f>INDEX(SharedParams[Name],ROW(B22))</f>
        <v>DPP_DIM_Width_mm</v>
      </c>
      <c r="B23" s="53">
        <f>IFERROR(
    IF(
        ISNUMBER(
            VLOOKUP(
                INDEX('Shared parameters'!$A$2:$A$200,
                       MATCH($A23,'Shared parameters'!$B$2:$B$200,0)
                ),
                'Data Entry'!$A$2:$B$200,
                2,
                FALSE
            )
        ),
        VLOOKUP(
            INDEX('Shared parameters'!$A$2:$A$200,
                   MATCH($A23,'Shared parameters'!$B$2:$B$200,0)
            ),
            'Data Entry'!$A$2:$B$200,
            2,
            FALSE
        ),
        """" &amp;
        VLOOKUP(
            INDEX('Shared parameters'!$A$2:$A$200,
                   MATCH($A23,'Shared parameters'!$B$2:$B$200,0)
            ),
            'Data Entry'!$A$2:$B$200,
            2,
            FALSE
        ) &amp;
        """"
    ),
"")</f>
        <v>500</v>
      </c>
    </row>
    <row r="24" spans="1:2" x14ac:dyDescent="0.3">
      <c r="A24" s="53" t="str">
        <f>INDEX(SharedParams[Name],ROW(B23))</f>
        <v>DPP_DIM_Volume_m3</v>
      </c>
      <c r="B24" s="53">
        <f>IFERROR(
    IF(
        ISNUMBER(
            VLOOKUP(
                INDEX('Shared parameters'!$A$2:$A$200,
                       MATCH($A24,'Shared parameters'!$B$2:$B$200,0)
                ),
                'Data Entry'!$A$2:$B$200,
                2,
                FALSE
            )
        ),
        VLOOKUP(
            INDEX('Shared parameters'!$A$2:$A$200,
                   MATCH($A24,'Shared parameters'!$B$2:$B$200,0)
            ),
            'Data Entry'!$A$2:$B$200,
            2,
            FALSE
        ),
        """" &amp;
        VLOOKUP(
            INDEX('Shared parameters'!$A$2:$A$200,
                   MATCH($A24,'Shared parameters'!$B$2:$B$200,0)
            ),
            'Data Entry'!$A$2:$B$200,
            2,
            FALSE
        ) &amp;
        """"
    ),
"")</f>
        <v>8.0000000000000002E-3</v>
      </c>
    </row>
    <row r="25" spans="1:2" x14ac:dyDescent="0.3">
      <c r="A25" s="53" t="str">
        <f>INDEX(SharedParams[Name],ROW(B24))</f>
        <v>DPP_DAT_DryDensity_kgm3</v>
      </c>
      <c r="B25" s="53">
        <f>IFERROR(
    IF(
        ISNUMBER(
            VLOOKUP(
                INDEX('Shared parameters'!$A$2:$A$200,
                       MATCH($A25,'Shared parameters'!$B$2:$B$200,0)
                ),
                'Data Entry'!$A$2:$B$200,
                2,
                FALSE
            )
        ),
        VLOOKUP(
            INDEX('Shared parameters'!$A$2:$A$200,
                   MATCH($A25,'Shared parameters'!$B$2:$B$200,0)
            ),
            'Data Entry'!$A$2:$B$200,
            2,
            FALSE
        ),
        """" &amp;
        VLOOKUP(
            INDEX('Shared parameters'!$A$2:$A$200,
                   MATCH($A25,'Shared parameters'!$B$2:$B$200,0)
            ),
            'Data Entry'!$A$2:$B$200,
            2,
            FALSE
        ) &amp;
        """"
    ),
"")</f>
        <v>335</v>
      </c>
    </row>
    <row r="26" spans="1:2" x14ac:dyDescent="0.3">
      <c r="A26" s="53" t="str">
        <f>INDEX(SharedParams[Name],ROW(B25))</f>
        <v>DPP_DAT_EqDensity_kgm3</v>
      </c>
      <c r="B26" s="53">
        <f>IFERROR(
    IF(
        ISNUMBER(
            VLOOKUP(
                INDEX('Shared parameters'!$A$2:$A$200,
                       MATCH($A26,'Shared parameters'!$B$2:$B$200,0)
                ),
                'Data Entry'!$A$2:$B$200,
                2,
                FALSE
            )
        ),
        VLOOKUP(
            INDEX('Shared parameters'!$A$2:$A$200,
                   MATCH($A26,'Shared parameters'!$B$2:$B$200,0)
            ),
            'Data Entry'!$A$2:$B$200,
            2,
            FALSE
        ),
        """" &amp;
        VLOOKUP(
            INDEX('Shared parameters'!$A$2:$A$200,
                   MATCH($A26,'Shared parameters'!$B$2:$B$200,0)
            ),
            'Data Entry'!$A$2:$B$200,
            2,
            FALSE
        ) &amp;
        """"
    ),
"")</f>
        <v>405</v>
      </c>
    </row>
    <row r="27" spans="1:2" x14ac:dyDescent="0.3">
      <c r="A27" s="53" t="str">
        <f>INDEX(SharedParams[Name],ROW(B26))</f>
        <v>DPP_DAT_Weight_kg</v>
      </c>
      <c r="B27" s="53">
        <f>IFERROR(
    IF(
        ISNUMBER(
            VLOOKUP(
                INDEX('Shared parameters'!$A$2:$A$200,
                       MATCH($A27,'Shared parameters'!$B$2:$B$200,0)
                ),
                'Data Entry'!$A$2:$B$200,
                2,
                FALSE
            )
        ),
        VLOOKUP(
            INDEX('Shared parameters'!$A$2:$A$200,
                   MATCH($A27,'Shared parameters'!$B$2:$B$200,0)
            ),
            'Data Entry'!$A$2:$B$200,
            2,
            FALSE
        ),
        """" &amp;
        VLOOKUP(
            INDEX('Shared parameters'!$A$2:$A$200,
                   MATCH($A27,'Shared parameters'!$B$2:$B$200,0)
            ),
            'Data Entry'!$A$2:$B$200,
            2,
            FALSE
        ) &amp;
        """"
    ),
"")</f>
        <v>2.68</v>
      </c>
    </row>
    <row r="28" spans="1:2" x14ac:dyDescent="0.3">
      <c r="A28" s="53" t="str">
        <f>INDEX(SharedParams[Name],ROW(B27))</f>
        <v>DPP_DAT_CompressiveStrenght_Mpa</v>
      </c>
      <c r="B28" s="53">
        <f>IFERROR(
    IF(
        ISNUMBER(
            VLOOKUP(
                INDEX('Shared parameters'!$A$2:$A$200,
                       MATCH($A28,'Shared parameters'!$B$2:$B$200,0)
                ),
                'Data Entry'!$A$2:$B$200,
                2,
                FALSE
            )
        ),
        VLOOKUP(
            INDEX('Shared parameters'!$A$2:$A$200,
                   MATCH($A28,'Shared parameters'!$B$2:$B$200,0)
            ),
            'Data Entry'!$A$2:$B$200,
            2,
            FALSE
        ),
        """" &amp;
        VLOOKUP(
            INDEX('Shared parameters'!$A$2:$A$200,
                   MATCH($A28,'Shared parameters'!$B$2:$B$200,0)
            ),
            'Data Entry'!$A$2:$B$200,
            2,
            FALSE
        ) &amp;
        """"
    ),
"")</f>
        <v>0.5</v>
      </c>
    </row>
    <row r="29" spans="1:2" x14ac:dyDescent="0.3">
      <c r="A29" s="53" t="str">
        <f>INDEX(SharedParams[Name],ROW(B28))</f>
        <v>DPP_DAT_ShearStrenght_Mpa</v>
      </c>
      <c r="B29" s="53">
        <f>IFERROR(
    IF(
        ISNUMBER(
            VLOOKUP(
                INDEX('Shared parameters'!$A$2:$A$200,
                       MATCH($A29,'Shared parameters'!$B$2:$B$200,0)
                ),
                'Data Entry'!$A$2:$B$200,
                2,
                FALSE
            )
        ),
        VLOOKUP(
            INDEX('Shared parameters'!$A$2:$A$200,
                   MATCH($A29,'Shared parameters'!$B$2:$B$200,0)
            ),
            'Data Entry'!$A$2:$B$200,
            2,
            FALSE
        ),
        """" &amp;
        VLOOKUP(
            INDEX('Shared parameters'!$A$2:$A$200,
                   MATCH($A29,'Shared parameters'!$B$2:$B$200,0)
            ),
            'Data Entry'!$A$2:$B$200,
            2,
            FALSE
        ) &amp;
        """"
    ),
"")</f>
        <v>0.12</v>
      </c>
    </row>
    <row r="30" spans="1:2" x14ac:dyDescent="0.3">
      <c r="A30" s="53" t="str">
        <f>INDEX(SharedParams[Name],ROW(B29))</f>
        <v>DPP_DAT_ThermalConductivity_WmK</v>
      </c>
      <c r="B30" s="53">
        <f>IFERROR(
    IF(
        ISNUMBER(
            VLOOKUP(
                INDEX('Shared parameters'!$A$2:$A$200,
                       MATCH($A30,'Shared parameters'!$B$2:$B$200,0)
                ),
                'Data Entry'!$A$2:$B$200,
                2,
                FALSE
            )
        ),
        VLOOKUP(
            INDEX('Shared parameters'!$A$2:$A$200,
                   MATCH($A30,'Shared parameters'!$B$2:$B$200,0)
            ),
            'Data Entry'!$A$2:$B$200,
            2,
            FALSE
        ),
        """" &amp;
        VLOOKUP(
            INDEX('Shared parameters'!$A$2:$A$200,
                   MATCH($A30,'Shared parameters'!$B$2:$B$200,0)
            ),
            'Data Entry'!$A$2:$B$200,
            2,
            FALSE
        ) &amp;
        """"
    ),
"")</f>
        <v>7.0000000000000007E-2</v>
      </c>
    </row>
    <row r="31" spans="1:2" x14ac:dyDescent="0.3">
      <c r="A31" s="53" t="str">
        <f>INDEX(SharedParams[Name],ROW(B30))</f>
        <v>DPP_DAT_Uvalue_Wm2K</v>
      </c>
      <c r="B31" s="53">
        <f>IFERROR(
    IF(
        ISNUMBER(
            VLOOKUP(
                INDEX('Shared parameters'!$A$2:$A$200,
                       MATCH($A31,'Shared parameters'!$B$2:$B$200,0)
                ),
                'Data Entry'!$A$2:$B$200,
                2,
                FALSE
            )
        ),
        VLOOKUP(
            INDEX('Shared parameters'!$A$2:$A$200,
                   MATCH($A31,'Shared parameters'!$B$2:$B$200,0)
            ),
            'Data Entry'!$A$2:$B$200,
            2,
            FALSE
        ),
        """" &amp;
        VLOOKUP(
            INDEX('Shared parameters'!$A$2:$A$200,
                   MATCH($A31,'Shared parameters'!$B$2:$B$200,0)
            ),
            'Data Entry'!$A$2:$B$200,
            2,
            FALSE
        ) &amp;
        """"
    ),
"")</f>
        <v>0.76</v>
      </c>
    </row>
    <row r="32" spans="1:2" x14ac:dyDescent="0.3">
      <c r="A32" s="53" t="str">
        <f>INDEX(SharedParams[Name],ROW(B31))</f>
        <v>DPP_DAT_SpeHeatCap_JkgK</v>
      </c>
      <c r="B32" s="53">
        <f>IFERROR(
    IF(
        ISNUMBER(
            VLOOKUP(
                INDEX('Shared parameters'!$A$2:$A$200,
                       MATCH($A32,'Shared parameters'!$B$2:$B$200,0)
                ),
                'Data Entry'!$A$2:$B$200,
                2,
                FALSE
            )
        ),
        VLOOKUP(
            INDEX('Shared parameters'!$A$2:$A$200,
                   MATCH($A32,'Shared parameters'!$B$2:$B$200,0)
            ),
            'Data Entry'!$A$2:$B$200,
            2,
            FALSE
        ),
        """" &amp;
        VLOOKUP(
            INDEX('Shared parameters'!$A$2:$A$200,
                   MATCH($A32,'Shared parameters'!$B$2:$B$200,0)
            ),
            'Data Entry'!$A$2:$B$200,
            2,
            FALSE
        ) &amp;
        """"
    ),
"")</f>
        <v>1870</v>
      </c>
    </row>
    <row r="33" spans="1:2" x14ac:dyDescent="0.3">
      <c r="A33" s="53" t="str">
        <f>INDEX(SharedParams[Name],ROW(B32))</f>
        <v>DPP_DAT_PhaseShift_Hours</v>
      </c>
      <c r="B33" s="53">
        <f>IFERROR(
    IF(
        ISNUMBER(
            VLOOKUP(
                INDEX('Shared parameters'!$A$2:$A$200,
                       MATCH($A33,'Shared parameters'!$B$2:$B$200,0)
                ),
                'Data Entry'!$A$2:$B$200,
                2,
                FALSE
            )
        ),
        VLOOKUP(
            INDEX('Shared parameters'!$A$2:$A$200,
                   MATCH($A33,'Shared parameters'!$B$2:$B$200,0)
            ),
            'Data Entry'!$A$2:$B$200,
            2,
            FALSE
        ),
        """" &amp;
        VLOOKUP(
            INDEX('Shared parameters'!$A$2:$A$200,
                   MATCH($A33,'Shared parameters'!$B$2:$B$200,0)
            ),
            'Data Entry'!$A$2:$B$200,
            2,
            FALSE
        ) &amp;
        """"
    ),
"")</f>
        <v>0.13125000000000001</v>
      </c>
    </row>
    <row r="34" spans="1:2" x14ac:dyDescent="0.3">
      <c r="A34" s="53" t="str">
        <f>INDEX(SharedParams[Name],ROW(B33))</f>
        <v>DPP_DAT_MoistureBuffer_m2%HR</v>
      </c>
      <c r="B34" s="53">
        <f>IFERROR(
    IF(
        ISNUMBER(
            VLOOKUP(
                INDEX('Shared parameters'!$A$2:$A$200,
                       MATCH($A34,'Shared parameters'!$B$2:$B$200,0)
                ),
                'Data Entry'!$A$2:$B$200,
                2,
                FALSE
            )
        ),
        VLOOKUP(
            INDEX('Shared parameters'!$A$2:$A$200,
                   MATCH($A34,'Shared parameters'!$B$2:$B$200,0)
            ),
            'Data Entry'!$A$2:$B$200,
            2,
            FALSE
        ),
        """" &amp;
        VLOOKUP(
            INDEX('Shared parameters'!$A$2:$A$200,
                   MATCH($A34,'Shared parameters'!$B$2:$B$200,0)
            ),
            'Data Entry'!$A$2:$B$200,
            2,
            FALSE
        ) &amp;
        """"
    ),
"")</f>
        <v>2.35</v>
      </c>
    </row>
    <row r="35" spans="1:2" x14ac:dyDescent="0.3">
      <c r="A35" s="53" t="str">
        <f>INDEX(SharedParams[Name],ROW(B34))</f>
        <v>DPP_DAT_VaporDiffμ_wet</v>
      </c>
      <c r="B35" s="53">
        <f>IFERROR(
    IF(
        ISNUMBER(
            VLOOKUP(
                INDEX('Shared parameters'!$A$2:$A$200,
                       MATCH($A35,'Shared parameters'!$B$2:$B$200,0)
                ),
                'Data Entry'!$A$2:$B$200,
                2,
                FALSE
            )
        ),
        VLOOKUP(
            INDEX('Shared parameters'!$A$2:$A$200,
                   MATCH($A35,'Shared parameters'!$B$2:$B$200,0)
            ),
            'Data Entry'!$A$2:$B$200,
            2,
            FALSE
        ),
        """" &amp;
        VLOOKUP(
            INDEX('Shared parameters'!$A$2:$A$200,
                   MATCH($A35,'Shared parameters'!$B$2:$B$200,0)
            ),
            'Data Entry'!$A$2:$B$200,
            2,
            FALSE
        ) &amp;
        """"
    ),
"")</f>
        <v>3.8</v>
      </c>
    </row>
    <row r="36" spans="1:2" x14ac:dyDescent="0.3">
      <c r="A36" s="53" t="str">
        <f>INDEX(SharedParams[Name],ROW(B35))</f>
        <v>DPP_DAT_VaporDiffμ_dry</v>
      </c>
      <c r="B36" s="53">
        <f>IFERROR(
    IF(
        ISNUMBER(
            VLOOKUP(
                INDEX('Shared parameters'!$A$2:$A$200,
                       MATCH($A36,'Shared parameters'!$B$2:$B$200,0)
                ),
                'Data Entry'!$A$2:$B$200,
                2,
                FALSE
            )
        ),
        VLOOKUP(
            INDEX('Shared parameters'!$A$2:$A$200,
                   MATCH($A36,'Shared parameters'!$B$2:$B$200,0)
            ),
            'Data Entry'!$A$2:$B$200,
            2,
            FALSE
        ),
        """" &amp;
        VLOOKUP(
            INDEX('Shared parameters'!$A$2:$A$200,
                   MATCH($A36,'Shared parameters'!$B$2:$B$200,0)
            ),
            'Data Entry'!$A$2:$B$200,
            2,
            FALSE
        ) &amp;
        """"
    ),
"")</f>
        <v>4.3</v>
      </c>
    </row>
    <row r="37" spans="1:2" x14ac:dyDescent="0.3">
      <c r="A37" s="53" t="str">
        <f>INDEX(SharedParams[Name],ROW(B36))</f>
        <v>DPP_DAT_VaporAbsorption</v>
      </c>
      <c r="B37" s="53">
        <f>IFERROR(
    IF(
        ISNUMBER(
            VLOOKUP(
                INDEX('Shared parameters'!$A$2:$A$200,
                       MATCH($A37,'Shared parameters'!$B$2:$B$200,0)
                ),
                'Data Entry'!$A$2:$B$200,
                2,
                FALSE
            )
        ),
        VLOOKUP(
            INDEX('Shared parameters'!$A$2:$A$200,
                   MATCH($A37,'Shared parameters'!$B$2:$B$200,0)
            ),
            'Data Entry'!$A$2:$B$200,
            2,
            FALSE
        ),
        """" &amp;
        VLOOKUP(
            INDEX('Shared parameters'!$A$2:$A$200,
                   MATCH($A37,'Shared parameters'!$B$2:$B$200,0)
            ),
            'Data Entry'!$A$2:$B$200,
            2,
            FALSE
        ) &amp;
        """"
    ),
"")</f>
        <v>19</v>
      </c>
    </row>
    <row r="38" spans="1:2" x14ac:dyDescent="0.3">
      <c r="A38" s="53" t="str">
        <f>INDEX(SharedParams[Name],ROW(B37))</f>
        <v>DPP_DAT_StandarCompliance</v>
      </c>
      <c r="B38" s="53" t="str">
        <f>IFERROR(
    IF(
        ISNUMBER(
            VLOOKUP(
                INDEX('Shared parameters'!$A$2:$A$200,
                       MATCH($A38,'Shared parameters'!$B$2:$B$200,0)
                ),
                'Data Entry'!$A$2:$B$200,
                2,
                FALSE
            )
        ),
        VLOOKUP(
            INDEX('Shared parameters'!$A$2:$A$200,
                   MATCH($A38,'Shared parameters'!$B$2:$B$200,0)
            ),
            'Data Entry'!$A$2:$B$200,
            2,
            FALSE
        ),
        """" &amp;
        VLOOKUP(
            INDEX('Shared parameters'!$A$2:$A$200,
                   MATCH($A38,'Shared parameters'!$B$2:$B$200,0)
            ),
            'Data Entry'!$A$2:$B$200,
            2,
            FALSE
        ) &amp;
        """"
    ),
"")</f>
        <v>"Yes"</v>
      </c>
    </row>
    <row r="39" spans="1:2" x14ac:dyDescent="0.3">
      <c r="A39" s="53" t="str">
        <f>INDEX(SharedParams[Name],ROW(B38))</f>
        <v>DPP_CIR_ConnectionType</v>
      </c>
      <c r="B39" s="53" t="str">
        <f>IFERROR(
    IF(
        ISNUMBER(
            VLOOKUP(
                INDEX('Shared parameters'!$A$2:$A$200,
                       MATCH($A39,'Shared parameters'!$B$2:$B$200,0)
                ),
                'Data Entry'!$A$2:$B$200,
                2,
                FALSE
            )
        ),
        VLOOKUP(
            INDEX('Shared parameters'!$A$2:$A$200,
                   MATCH($A39,'Shared parameters'!$B$2:$B$200,0)
            ),
            'Data Entry'!$A$2:$B$200,
            2,
            FALSE
        ),
        """" &amp;
        VLOOKUP(
            INDEX('Shared parameters'!$A$2:$A$200,
                   MATCH($A39,'Shared parameters'!$B$2:$B$200,0)
            ),
            'Data Entry'!$A$2:$B$200,
            2,
            FALSE
        ) &amp;
        """"
    ),
"")</f>
        <v>"Mortar"</v>
      </c>
    </row>
    <row r="40" spans="1:2" x14ac:dyDescent="0.3">
      <c r="A40" s="53" t="str">
        <f>INDEX(SharedParams[Name],ROW(B39))</f>
        <v>DPP_CIR_ConnectionScore</v>
      </c>
      <c r="B40" s="53">
        <f>IFERROR(
    IF(
        ISNUMBER(
            VLOOKUP(
                INDEX('Shared parameters'!$A$2:$A$200,
                       MATCH($A40,'Shared parameters'!$B$2:$B$200,0)
                ),
                'Data Entry'!$A$2:$B$200,
                2,
                FALSE
            )
        ),
        VLOOKUP(
            INDEX('Shared parameters'!$A$2:$A$200,
                   MATCH($A40,'Shared parameters'!$B$2:$B$200,0)
            ),
            'Data Entry'!$A$2:$B$200,
            2,
            FALSE
        ),
        """" &amp;
        VLOOKUP(
            INDEX('Shared parameters'!$A$2:$A$200,
                   MATCH($A40,'Shared parameters'!$B$2:$B$200,0)
            ),
            'Data Entry'!$A$2:$B$200,
            2,
            FALSE
        ) &amp;
        """"
    ),
"")</f>
        <v>0.3</v>
      </c>
    </row>
    <row r="41" spans="1:2" x14ac:dyDescent="0.3">
      <c r="A41" s="53" t="str">
        <f>INDEX(SharedParams[Name],ROW(B40))</f>
        <v>DPP_CIR_Prefabrication</v>
      </c>
      <c r="B41" s="53" t="str">
        <f>IFERROR(
    IF(
        ISNUMBER(
            VLOOKUP(
                INDEX('Shared parameters'!$A$2:$A$200,
                       MATCH($A41,'Shared parameters'!$B$2:$B$200,0)
                ),
                'Data Entry'!$A$2:$B$200,
                2,
                FALSE
            )
        ),
        VLOOKUP(
            INDEX('Shared parameters'!$A$2:$A$200,
                   MATCH($A41,'Shared parameters'!$B$2:$B$200,0)
            ),
            'Data Entry'!$A$2:$B$200,
            2,
            FALSE
        ),
        """" &amp;
        VLOOKUP(
            INDEX('Shared parameters'!$A$2:$A$200,
                   MATCH($A41,'Shared parameters'!$B$2:$B$200,0)
            ),
            'Data Entry'!$A$2:$B$200,
            2,
            FALSE
        ) &amp;
        """"
    ),
"")</f>
        <v>"Yes"</v>
      </c>
    </row>
    <row r="42" spans="1:2" x14ac:dyDescent="0.3">
      <c r="A42" s="53" t="str">
        <f>INDEX(SharedParams[Name],ROW(B41))</f>
        <v>DPP_CIR_PrefabricationFactor</v>
      </c>
      <c r="B42" s="53">
        <f>IFERROR(
    IF(
        ISNUMBER(
            VLOOKUP(
                INDEX('Shared parameters'!$A$2:$A$200,
                       MATCH($A42,'Shared parameters'!$B$2:$B$200,0)
                ),
                'Data Entry'!$A$2:$B$200,
                2,
                FALSE
            )
        ),
        VLOOKUP(
            INDEX('Shared parameters'!$A$2:$A$200,
                   MATCH($A42,'Shared parameters'!$B$2:$B$200,0)
            ),
            'Data Entry'!$A$2:$B$200,
            2,
            FALSE
        ),
        """" &amp;
        VLOOKUP(
            INDEX('Shared parameters'!$A$2:$A$200,
                   MATCH($A42,'Shared parameters'!$B$2:$B$200,0)
            ),
            'Data Entry'!$A$2:$B$200,
            2,
            FALSE
        ) &amp;
        """"
    ),
"")</f>
        <v>1</v>
      </c>
    </row>
    <row r="43" spans="1:2" x14ac:dyDescent="0.3">
      <c r="A43" s="53" t="str">
        <f>INDEX(SharedParams[Name],ROW(B42))</f>
        <v>DPP_CIR_DeconstructabilityScore</v>
      </c>
      <c r="B43" s="53">
        <f>IFERROR(
    IF(
        ISNUMBER(
            VLOOKUP(
                INDEX('Shared parameters'!$A$2:$A$200,
                       MATCH($A43,'Shared parameters'!$B$2:$B$200,0)
                ),
                'Data Entry'!$A$2:$B$200,
                2,
                FALSE
            )
        ),
        VLOOKUP(
            INDEX('Shared parameters'!$A$2:$A$200,
                   MATCH($A43,'Shared parameters'!$B$2:$B$200,0)
            ),
            'Data Entry'!$A$2:$B$200,
            2,
            FALSE
        ),
        """" &amp;
        VLOOKUP(
            INDEX('Shared parameters'!$A$2:$A$200,
                   MATCH($A43,'Shared parameters'!$B$2:$B$200,0)
            ),
            'Data Entry'!$A$2:$B$200,
            2,
            FALSE
        ) &amp;
        """"
    ),
"")</f>
        <v>0.5</v>
      </c>
    </row>
    <row r="44" spans="1:2" x14ac:dyDescent="0.3">
      <c r="A44" s="53" t="str">
        <f>INDEX(SharedParams[Name],ROW(B43))</f>
        <v>DPP_CIR_RecyclingPotential</v>
      </c>
      <c r="B44" s="53">
        <f>IFERROR(
    IF(
        ISNUMBER(
            VLOOKUP(
                INDEX('Shared parameters'!$A$2:$A$200,
                       MATCH($A44,'Shared parameters'!$B$2:$B$200,0)
                ),
                'Data Entry'!$A$2:$B$200,
                2,
                FALSE
            )
        ),
        VLOOKUP(
            INDEX('Shared parameters'!$A$2:$A$200,
                   MATCH($A44,'Shared parameters'!$B$2:$B$200,0)
            ),
            'Data Entry'!$A$2:$B$200,
            2,
            FALSE
        ),
        """" &amp;
        VLOOKUP(
            INDEX('Shared parameters'!$A$2:$A$200,
                   MATCH($A44,'Shared parameters'!$B$2:$B$200,0)
            ),
            'Data Entry'!$A$2:$B$200,
            2,
            FALSE
        ) &amp;
        """"
    ),
"")</f>
        <v>100</v>
      </c>
    </row>
    <row r="45" spans="1:2" x14ac:dyDescent="0.3">
      <c r="A45" s="53" t="str">
        <f>INDEX(SharedParams[Name],ROW(B44))</f>
        <v>DPP_CIR_Reusability</v>
      </c>
      <c r="B45" s="53" t="str">
        <f>IFERROR(
    IF(
        ISNUMBER(
            VLOOKUP(
                INDEX('Shared parameters'!$A$2:$A$200,
                       MATCH($A45,'Shared parameters'!$B$2:$B$200,0)
                ),
                'Data Entry'!$A$2:$B$200,
                2,
                FALSE
            )
        ),
        VLOOKUP(
            INDEX('Shared parameters'!$A$2:$A$200,
                   MATCH($A45,'Shared parameters'!$B$2:$B$200,0)
            ),
            'Data Entry'!$A$2:$B$200,
            2,
            FALSE
        ),
        """" &amp;
        VLOOKUP(
            INDEX('Shared parameters'!$A$2:$A$200,
                   MATCH($A45,'Shared parameters'!$B$2:$B$200,0)
            ),
            'Data Entry'!$A$2:$B$200,
            2,
            FALSE
        ) &amp;
        """"
    ),
"")</f>
        <v>"No"</v>
      </c>
    </row>
    <row r="46" spans="1:2" x14ac:dyDescent="0.3">
      <c r="A46" s="53" t="str">
        <f>INDEX(SharedParams[Name],ROW(B45))</f>
        <v>DPP_CIR_ReusabilityPotential</v>
      </c>
      <c r="B46" s="53">
        <f>IFERROR(
    IF(
        ISNUMBER(
            VLOOKUP(
                INDEX('Shared parameters'!$A$2:$A$200,
                       MATCH($A46,'Shared parameters'!$B$2:$B$200,0)
                ),
                'Data Entry'!$A$2:$B$200,
                2,
                FALSE
            )
        ),
        VLOOKUP(
            INDEX('Shared parameters'!$A$2:$A$200,
                   MATCH($A46,'Shared parameters'!$B$2:$B$200,0)
            ),
            'Data Entry'!$A$2:$B$200,
            2,
            FALSE
        ),
        """" &amp;
        VLOOKUP(
            INDEX('Shared parameters'!$A$2:$A$200,
                   MATCH($A46,'Shared parameters'!$B$2:$B$200,0)
            ),
            'Data Entry'!$A$2:$B$200,
            2,
            FALSE
        ) &amp;
        """"
    ),
"")</f>
        <v>0</v>
      </c>
    </row>
    <row r="47" spans="1:2" x14ac:dyDescent="0.3">
      <c r="A47" s="53" t="str">
        <f>INDEX(SharedParams[Name],ROW(B46))</f>
        <v>DPP_CIR_RecoveryScore</v>
      </c>
      <c r="B47" s="53">
        <f>IFERROR(
    IF(
        ISNUMBER(
            VLOOKUP(
                INDEX('Shared parameters'!$A$2:$A$200,
                       MATCH($A47,'Shared parameters'!$B$2:$B$200,0)
                ),
                'Data Entry'!$A$2:$B$200,
                2,
                FALSE
            )
        ),
        VLOOKUP(
            INDEX('Shared parameters'!$A$2:$A$200,
                   MATCH($A47,'Shared parameters'!$B$2:$B$200,0)
            ),
            'Data Entry'!$A$2:$B$200,
            2,
            FALSE
        ),
        """" &amp;
        VLOOKUP(
            INDEX('Shared parameters'!$A$2:$A$200,
                   MATCH($A47,'Shared parameters'!$B$2:$B$200,0)
            ),
            'Data Entry'!$A$2:$B$200,
            2,
            FALSE
        ) &amp;
        """"
    ),
"")</f>
        <v>0.5</v>
      </c>
    </row>
    <row r="48" spans="1:2" x14ac:dyDescent="0.3">
      <c r="A48" s="53" t="str">
        <f>INDEX(SharedParams[Name],ROW(B47))</f>
        <v>DPP_CIR_Disassemblypotential</v>
      </c>
      <c r="B48" s="53">
        <f>IFERROR(
    IF(
        ISNUMBER(
            VLOOKUP(
                INDEX('Shared parameters'!$A$2:$A$200,
                       MATCH($A48,'Shared parameters'!$B$2:$B$200,0)
                ),
                'Data Entry'!$A$2:$B$200,
                2,
                FALSE
            )
        ),
        VLOOKUP(
            INDEX('Shared parameters'!$A$2:$A$200,
                   MATCH($A48,'Shared parameters'!$B$2:$B$200,0)
            ),
            'Data Entry'!$A$2:$B$200,
            2,
            FALSE
        ),
        """" &amp;
        VLOOKUP(
            INDEX('Shared parameters'!$A$2:$A$200,
                   MATCH($A48,'Shared parameters'!$B$2:$B$200,0)
            ),
            'Data Entry'!$A$2:$B$200,
            2,
            FALSE
        ) &amp;
        """"
    ),
"")</f>
        <v>3</v>
      </c>
    </row>
    <row r="49" spans="1:2" x14ac:dyDescent="0.3">
      <c r="A49" s="53" t="str">
        <f>INDEX(SharedParams[Name],ROW(B48))</f>
        <v>DPP_CIR_DisassemblyInstructions</v>
      </c>
      <c r="B49" s="53" t="str">
        <f>IFERROR(
    IF(
        ISNUMBER(
            VLOOKUP(
                INDEX('Shared parameters'!$A$2:$A$200,
                       MATCH($A49,'Shared parameters'!$B$2:$B$200,0)
                ),
                'Data Entry'!$A$2:$B$200,
                2,
                FALSE
            )
        ),
        VLOOKUP(
            INDEX('Shared parameters'!$A$2:$A$200,
                   MATCH($A49,'Shared parameters'!$B$2:$B$200,0)
            ),
            'Data Entry'!$A$2:$B$200,
            2,
            FALSE
        ),
        """" &amp;
        VLOOKUP(
            INDEX('Shared parameters'!$A$2:$A$200,
                   MATCH($A49,'Shared parameters'!$B$2:$B$200,0)
            ),
            'Data Entry'!$A$2:$B$200,
            2,
            FALSE
        ) &amp;
        """"
    ),
"")</f>
        <v>"Mechanical dismantling: Crushing and Sieving for Recycling"</v>
      </c>
    </row>
    <row r="50" spans="1:2" x14ac:dyDescent="0.3">
      <c r="A50" s="53" t="str">
        <f>INDEX(SharedParams[Name],ROW(B49))</f>
        <v>DPP_CIR_SecondaryUse</v>
      </c>
      <c r="B50" s="53" t="str">
        <f>IFERROR(
    IF(
        ISNUMBER(
            VLOOKUP(
                INDEX('Shared parameters'!$A$2:$A$200,
                       MATCH($A50,'Shared parameters'!$B$2:$B$200,0)
                ),
                'Data Entry'!$A$2:$B$200,
                2,
                FALSE
            )
        ),
        VLOOKUP(
            INDEX('Shared parameters'!$A$2:$A$200,
                   MATCH($A50,'Shared parameters'!$B$2:$B$200,0)
            ),
            'Data Entry'!$A$2:$B$200,
            2,
            FALSE
        ),
        """" &amp;
        VLOOKUP(
            INDEX('Shared parameters'!$A$2:$A$200,
                   MATCH($A50,'Shared parameters'!$B$2:$B$200,0)
            ),
            'Data Entry'!$A$2:$B$200,
            2,
            FALSE
        ) &amp;
        """"
    ),
"")</f>
        <v>"Reused on the construction site for applications requiring increased density, such as floor material"</v>
      </c>
    </row>
    <row r="51" spans="1:2" x14ac:dyDescent="0.3">
      <c r="A51" s="53" t="str">
        <f>INDEX(SharedParams[Name],ROW(B50))</f>
        <v>DPP_CIR_EndofLifeRecomendations</v>
      </c>
      <c r="B51" s="53" t="str">
        <f>IFERROR(
    IF(
        ISNUMBER(
            VLOOKUP(
                INDEX('Shared parameters'!$A$2:$A$200,
                       MATCH($A51,'Shared parameters'!$B$2:$B$200,0)
                ),
                'Data Entry'!$A$2:$B$200,
                2,
                FALSE
            )
        ),
        VLOOKUP(
            INDEX('Shared parameters'!$A$2:$A$200,
                   MATCH($A51,'Shared parameters'!$B$2:$B$200,0)
            ),
            'Data Entry'!$A$2:$B$200,
            2,
            FALSE
        ),
        """" &amp;
        VLOOKUP(
            INDEX('Shared parameters'!$A$2:$A$200,
                   MATCH($A51,'Shared parameters'!$B$2:$B$200,0)
            ),
            'Data Entry'!$A$2:$B$200,
            2,
            FALSE
        ) &amp;
        """"
    ),
"")</f>
        <v>"Composting and soil improvement; Disposal via incineration"</v>
      </c>
    </row>
    <row r="52" spans="1:2" x14ac:dyDescent="0.3">
      <c r="A52" s="53" t="str">
        <f>INDEX(SharedParams[Name],ROW(B51))</f>
        <v>DPP_END_EPD</v>
      </c>
      <c r="B52" s="53" t="str">
        <f>IFERROR(
    IF(
        ISNUMBER(
            VLOOKUP(
                INDEX('Shared parameters'!$A$2:$A$200,
                       MATCH($A52,'Shared parameters'!$B$2:$B$200,0)
                ),
                'Data Entry'!$A$2:$B$200,
                2,
                FALSE
            )
        ),
        VLOOKUP(
            INDEX('Shared parameters'!$A$2:$A$200,
                   MATCH($A52,'Shared parameters'!$B$2:$B$200,0)
            ),
            'Data Entry'!$A$2:$B$200,
            2,
            FALSE
        ),
        """" &amp;
        VLOOKUP(
            INDEX('Shared parameters'!$A$2:$A$200,
                   MATCH($A52,'Shared parameters'!$B$2:$B$200,0)
            ),
            'Data Entry'!$A$2:$B$200,
            2,
            FALSE
        ) &amp;
        """"
    ),
"")</f>
        <v>"Yes"</v>
      </c>
    </row>
    <row r="53" spans="1:2" x14ac:dyDescent="0.3">
      <c r="A53" s="53" t="str">
        <f>INDEX(SharedParams[Name],ROW(B52))</f>
        <v>DPP_END_EPD_URL</v>
      </c>
      <c r="B53" s="53" t="str">
        <f>IFERROR(
    IF(
        ISNUMBER(
            VLOOKUP(
                INDEX('Shared parameters'!$A$2:$A$200,
                       MATCH($A53,'Shared parameters'!$B$2:$B$200,0)
                ),
                'Data Entry'!$A$2:$B$200,
                2,
                FALSE
            )
        ),
        VLOOKUP(
            INDEX('Shared parameters'!$A$2:$A$200,
                   MATCH($A53,'Shared parameters'!$B$2:$B$200,0)
            ),
            'Data Entry'!$A$2:$B$200,
            2,
            FALSE
        ),
        """" &amp;
        VLOOKUP(
            INDEX('Shared parameters'!$A$2:$A$200,
                   MATCH($A53,'Shared parameters'!$B$2:$B$200,0)
            ),
            'Data Entry'!$A$2:$B$200,
            2,
            FALSE
        ) &amp;
        """"
    ),
"")</f>
        <v>"https://www.bau-epd.at/epd/data/schoenthaler-bausteinwerk-gmbh-hanfsteine-ecoinvent-2025"</v>
      </c>
    </row>
    <row r="54" spans="1:2" x14ac:dyDescent="0.3">
      <c r="A54" s="53" t="str">
        <f>INDEX(SharedParams[Name],ROW(B53))</f>
        <v>DPP_END_GWP_kgCO₂eq</v>
      </c>
      <c r="B54" s="53">
        <f>IFERROR(
    IF(
        ISNUMBER(
            VLOOKUP(
                INDEX('Shared parameters'!$A$2:$A$200,
                       MATCH($A54,'Shared parameters'!$B$2:$B$200,0)
                ),
                'Data Entry'!$A$2:$B$200,
                2,
                FALSE
            )
        ),
        VLOOKUP(
            INDEX('Shared parameters'!$A$2:$A$200,
                   MATCH($A54,'Shared parameters'!$B$2:$B$200,0)
            ),
            'Data Entry'!$A$2:$B$200,
            2,
            FALSE
        ),
        """" &amp;
        VLOOKUP(
            INDEX('Shared parameters'!$A$2:$A$200,
                   MATCH($A54,'Shared parameters'!$B$2:$B$200,0)
            ),
            'Data Entry'!$A$2:$B$200,
            2,
            FALSE
        ) &amp;
        """"
    ),
"")</f>
        <v>1.3392000000000002</v>
      </c>
    </row>
    <row r="55" spans="1:2" x14ac:dyDescent="0.3">
      <c r="A55" s="53" t="str">
        <f>INDEX(SharedParams[Name],ROW(B54))</f>
        <v>DPP_END_PEI_MJKg</v>
      </c>
      <c r="B55" s="53" t="str">
        <f>IFERROR(
    IF(
        ISNUMBER(
            VLOOKUP(
                INDEX('Shared parameters'!$A$2:$A$200,
                       MATCH($A55,'Shared parameters'!$B$2:$B$200,0)
                ),
                'Data Entry'!$A$2:$B$200,
                2,
                FALSE
            )
        ),
        VLOOKUP(
            INDEX('Shared parameters'!$A$2:$A$200,
                   MATCH($A55,'Shared parameters'!$B$2:$B$200,0)
            ),
            'Data Entry'!$A$2:$B$200,
            2,
            FALSE
        ),
        """" &amp;
        VLOOKUP(
            INDEX('Shared parameters'!$A$2:$A$200,
                   MATCH($A55,'Shared parameters'!$B$2:$B$200,0)
            ),
            'Data Entry'!$A$2:$B$200,
            2,
            FALSE
        ) &amp;
        """"
    ),
"")</f>
        <v>""</v>
      </c>
    </row>
    <row r="56" spans="1:2" x14ac:dyDescent="0.3">
      <c r="A56" s="53" t="str">
        <f>INDEX(SharedParams[Name],ROW(B55))</f>
        <v>DPP_END_PERT_MJKg</v>
      </c>
      <c r="B56" s="53">
        <f>IFERROR(
    IF(
        ISNUMBER(
            VLOOKUP(
                INDEX('Shared parameters'!$A$2:$A$200,
                       MATCH($A56,'Shared parameters'!$B$2:$B$200,0)
                ),
                'Data Entry'!$A$2:$B$200,
                2,
                FALSE
            )
        ),
        VLOOKUP(
            INDEX('Shared parameters'!$A$2:$A$200,
                   MATCH($A56,'Shared parameters'!$B$2:$B$200,0)
            ),
            'Data Entry'!$A$2:$B$200,
            2,
            FALSE
        ),
        """" &amp;
        VLOOKUP(
            INDEX('Shared parameters'!$A$2:$A$200,
                   MATCH($A56,'Shared parameters'!$B$2:$B$200,0)
            ),
            'Data Entry'!$A$2:$B$200,
            2,
            FALSE
        ) &amp;
        """"
    ),
"")</f>
        <v>18.408720000000002</v>
      </c>
    </row>
    <row r="57" spans="1:2" x14ac:dyDescent="0.3">
      <c r="A57" s="53" t="str">
        <f>INDEX(SharedParams[Name],ROW(B56))</f>
        <v>DPP_END_PENRT_MJKg</v>
      </c>
      <c r="B57" s="53">
        <f>IFERROR(
    IF(
        ISNUMBER(
            VLOOKUP(
                INDEX('Shared parameters'!$A$2:$A$200,
                       MATCH($A57,'Shared parameters'!$B$2:$B$200,0)
                ),
                'Data Entry'!$A$2:$B$200,
                2,
                FALSE
            )
        ),
        VLOOKUP(
            INDEX('Shared parameters'!$A$2:$A$200,
                   MATCH($A57,'Shared parameters'!$B$2:$B$200,0)
            ),
            'Data Entry'!$A$2:$B$200,
            2,
            FALSE
        ),
        """" &amp;
        VLOOKUP(
            INDEX('Shared parameters'!$A$2:$A$200,
                   MATCH($A57,'Shared parameters'!$B$2:$B$200,0)
            ),
            'Data Entry'!$A$2:$B$200,
            2,
            FALSE
        ) &amp;
        """"
    ),
"")</f>
        <v>17.026880000000002</v>
      </c>
    </row>
    <row r="58" spans="1:2" x14ac:dyDescent="0.3">
      <c r="A58" s="53" t="str">
        <f>INDEX(SharedParams[Name],ROW(B57))</f>
        <v>DPP_END_AP_kgSO₂eq</v>
      </c>
      <c r="B58" s="53">
        <f>IFERROR(
    IF(
        ISNUMBER(
            VLOOKUP(
                INDEX('Shared parameters'!$A$2:$A$200,
                       MATCH($A58,'Shared parameters'!$B$2:$B$200,0)
                ),
                'Data Entry'!$A$2:$B$200,
                2,
                FALSE
            )
        ),
        VLOOKUP(
            INDEX('Shared parameters'!$A$2:$A$200,
                   MATCH($A58,'Shared parameters'!$B$2:$B$200,0)
            ),
            'Data Entry'!$A$2:$B$200,
            2,
            FALSE
        ),
        """" &amp;
        VLOOKUP(
            INDEX('Shared parameters'!$A$2:$A$200,
                   MATCH($A58,'Shared parameters'!$B$2:$B$200,0)
            ),
            'Data Entry'!$A$2:$B$200,
            2,
            FALSE
        ) &amp;
        """"
    ),
"")</f>
        <v>2.4935000000000002E-4</v>
      </c>
    </row>
    <row r="59" spans="1:2" x14ac:dyDescent="0.3">
      <c r="A59" s="53" t="str">
        <f>INDEX(SharedParams[Name],ROW(B58))</f>
        <v>DPP_END_EmbodiedCarbon_kgCO₂eq</v>
      </c>
      <c r="B59" s="53">
        <f>IFERROR(
    IF(
        ISNUMBER(
            VLOOKUP(
                INDEX('Shared parameters'!$A$2:$A$200,
                       MATCH($A59,'Shared parameters'!$B$2:$B$200,0)
                ),
                'Data Entry'!$A$2:$B$200,
                2,
                FALSE
            )
        ),
        VLOOKUP(
            INDEX('Shared parameters'!$A$2:$A$200,
                   MATCH($A59,'Shared parameters'!$B$2:$B$200,0)
            ),
            'Data Entry'!$A$2:$B$200,
            2,
            FALSE
        ),
        """" &amp;
        VLOOKUP(
            INDEX('Shared parameters'!$A$2:$A$200,
                   MATCH($A59,'Shared parameters'!$B$2:$B$200,0)
            ),
            'Data Entry'!$A$2:$B$200,
            2,
            FALSE
        ) &amp;
        """"
    ),
"")</f>
        <v>-1.744</v>
      </c>
    </row>
    <row r="60" spans="1:2" x14ac:dyDescent="0.3">
      <c r="A60" s="53" t="str">
        <f>INDEX(SharedParams[Name],ROW(B59))</f>
        <v>DPP_END_BiogenicCarbon_kgCO₂eq</v>
      </c>
      <c r="B60" s="53">
        <f>IFERROR(
    IF(
        ISNUMBER(
            VLOOKUP(
                INDEX('Shared parameters'!$A$2:$A$200,
                       MATCH($A60,'Shared parameters'!$B$2:$B$200,0)
                ),
                'Data Entry'!$A$2:$B$200,
                2,
                FALSE
            )
        ),
        VLOOKUP(
            INDEX('Shared parameters'!$A$2:$A$200,
                   MATCH($A60,'Shared parameters'!$B$2:$B$200,0)
            ),
            'Data Entry'!$A$2:$B$200,
            2,
            FALSE
        ),
        """" &amp;
        VLOOKUP(
            INDEX('Shared parameters'!$A$2:$A$200,
                   MATCH($A60,'Shared parameters'!$B$2:$B$200,0)
            ),
            'Data Entry'!$A$2:$B$200,
            2,
            FALSE
        ) &amp;
        """"
    ),
"")</f>
        <v>0.44880000000000003</v>
      </c>
    </row>
    <row r="61" spans="1:2" x14ac:dyDescent="0.3">
      <c r="A61" s="53" t="str">
        <f>INDEX(SharedParams[Name],ROW(B60))</f>
        <v>DPP_END_EndoflifeEmissions_kgCO₂eq</v>
      </c>
      <c r="B61" s="53">
        <f>IFERROR(
    IF(
        ISNUMBER(
            VLOOKUP(
                INDEX('Shared parameters'!$A$2:$A$200,
                       MATCH($A61,'Shared parameters'!$B$2:$B$200,0)
                ),
                'Data Entry'!$A$2:$B$200,
                2,
                FALSE
            )
        ),
        VLOOKUP(
            INDEX('Shared parameters'!$A$2:$A$200,
                   MATCH($A61,'Shared parameters'!$B$2:$B$200,0)
            ),
            'Data Entry'!$A$2:$B$200,
            2,
            FALSE
        ),
        """" &amp;
        VLOOKUP(
            INDEX('Shared parameters'!$A$2:$A$200,
                   MATCH($A61,'Shared parameters'!$B$2:$B$200,0)
            ),
            'Data Entry'!$A$2:$B$200,
            2,
            FALSE
        ) &amp;
        """"
    ),
"")</f>
        <v>1.7772000000000001</v>
      </c>
    </row>
    <row r="62" spans="1:2" x14ac:dyDescent="0.3">
      <c r="A62" s="53" t="str">
        <f>INDEX(SharedParams[Name],ROW(B61))</f>
        <v>DPP_CIR_CircularityIndex</v>
      </c>
      <c r="B62" s="53">
        <f>IFERROR(
    IF(
        ISNUMBER(
            VLOOKUP(
                INDEX('Shared parameters'!$A$2:$A$200,
                       MATCH($A62,'Shared parameters'!$B$2:$B$200,0)
                ),
                'Data Entry'!$A$2:$B$200,
                2,
                FALSE
            )
        ),
        VLOOKUP(
            INDEX('Shared parameters'!$A$2:$A$200,
                   MATCH($A62,'Shared parameters'!$B$2:$B$200,0)
            ),
            'Data Entry'!$A$2:$B$200,
            2,
            FALSE
        ),
        """" &amp;
        VLOOKUP(
            INDEX('Shared parameters'!$A$2:$A$200,
                   MATCH($A62,'Shared parameters'!$B$2:$B$200,0)
            ),
            'Data Entry'!$A$2:$B$200,
            2,
            FALSE
        ) &amp;
        """"
    ),
"")</f>
        <v>70</v>
      </c>
    </row>
    <row r="63" spans="1:2" x14ac:dyDescent="0.3">
      <c r="A63" s="53" t="str">
        <f>INDEX(SharedParams[Name],ROW(B62))</f>
        <v>DPP_END_Ei</v>
      </c>
      <c r="B63" s="53">
        <f>IFERROR(
    IF(
        ISNUMBER(
            VLOOKUP(
                INDEX('Shared parameters'!$A$2:$A$200,
                       MATCH($A63,'Shared parameters'!$B$2:$B$200,0)
                ),
                'Data Entry'!$A$2:$B$200,
                2,
                FALSE
            )
        ),
        VLOOKUP(
            INDEX('Shared parameters'!$A$2:$A$200,
                   MATCH($A63,'Shared parameters'!$B$2:$B$200,0)
            ),
            'Data Entry'!$A$2:$B$200,
            2,
            FALSE
        ),
        """" &amp;
        VLOOKUP(
            INDEX('Shared parameters'!$A$2:$A$200,
                   MATCH($A63,'Shared parameters'!$B$2:$B$200,0)
            ),
            'Data Entry'!$A$2:$B$200,
            2,
            FALSE
        ) &amp;
        """"
    ),
"")</f>
        <v>0.99199999999999999</v>
      </c>
    </row>
    <row r="64" spans="1:2" x14ac:dyDescent="0.3">
      <c r="A64" s="53" t="str">
        <f>INDEX(SharedParams[Name],ROW(B63))</f>
        <v>DPP_END_w</v>
      </c>
      <c r="B64" s="53">
        <f>IFERROR(
    IF(
        ISNUMBER(
            VLOOKUP(
                INDEX('Shared parameters'!$A$2:$A$200,
                       MATCH($A64,'Shared parameters'!$B$2:$B$200,0)
                ),
                'Data Entry'!$A$2:$B$200,
                2,
                FALSE
            )
        ),
        VLOOKUP(
            INDEX('Shared parameters'!$A$2:$A$200,
                   MATCH($A64,'Shared parameters'!$B$2:$B$200,0)
            ),
            'Data Entry'!$A$2:$B$200,
            2,
            FALSE
        ),
        """" &amp;
        VLOOKUP(
            INDEX('Shared parameters'!$A$2:$A$200,
                   MATCH($A64,'Shared parameters'!$B$2:$B$200,0)
            ),
            'Data Entry'!$A$2:$B$200,
            2,
            FALSE
        ) &amp;
        """"
    ),
"")</f>
        <v>0.75</v>
      </c>
    </row>
    <row r="65" spans="1:2" x14ac:dyDescent="0.3">
      <c r="A65" s="53" t="str">
        <f>INDEX(SharedParams[Name],ROW(B64))</f>
        <v>DPP_END_EnvironmentalScore</v>
      </c>
      <c r="B65" s="53">
        <f>IFERROR(
    IF(
        ISNUMBER(
            VLOOKUP(
                INDEX('Shared parameters'!$A$2:$A$200,
                       MATCH($A65,'Shared parameters'!$B$2:$B$200,0)
                ),
                'Data Entry'!$A$2:$B$200,
                2,
                FALSE
            )
        ),
        VLOOKUP(
            INDEX('Shared parameters'!$A$2:$A$200,
                   MATCH($A65,'Shared parameters'!$B$2:$B$200,0)
            ),
            'Data Entry'!$A$2:$B$200,
            2,
            FALSE
        ),
        """" &amp;
        VLOOKUP(
            INDEX('Shared parameters'!$A$2:$A$200,
                   MATCH($A65,'Shared parameters'!$B$2:$B$200,0)
            ),
            'Data Entry'!$A$2:$B$200,
            2,
            FALSE
        ) &amp;
        """"
    ),
"")</f>
        <v>0.74399999999999999</v>
      </c>
    </row>
    <row r="66" spans="1:2" x14ac:dyDescent="0.3">
      <c r="A66" s="53" t="str">
        <f>INDEX(SharedParams[Name],ROW(B65))</f>
        <v>DPP_TMP_ServiceLife_years</v>
      </c>
      <c r="B66" s="53">
        <f>IFERROR(
    IF(
        ISNUMBER(
            VLOOKUP(
                INDEX('Shared parameters'!$A$2:$A$200,
                       MATCH($A66,'Shared parameters'!$B$2:$B$200,0)
                ),
                'Data Entry'!$A$2:$B$200,
                2,
                FALSE
            )
        ),
        VLOOKUP(
            INDEX('Shared parameters'!$A$2:$A$200,
                   MATCH($A66,'Shared parameters'!$B$2:$B$200,0)
            ),
            'Data Entry'!$A$2:$B$200,
            2,
            FALSE
        ),
        """" &amp;
        VLOOKUP(
            INDEX('Shared parameters'!$A$2:$A$200,
                   MATCH($A66,'Shared parameters'!$B$2:$B$200,0)
            ),
            'Data Entry'!$A$2:$B$200,
            2,
            FALSE
        ) &amp;
        """"
    ),
"")</f>
        <v>100</v>
      </c>
    </row>
    <row r="67" spans="1:2" x14ac:dyDescent="0.3">
      <c r="A67" s="53" t="str">
        <f>INDEX(SharedParams[Name],ROW(B66))</f>
        <v>DPP_TMP_Manteinance</v>
      </c>
      <c r="B67" s="53" t="str">
        <f>IFERROR(
    IF(
        ISNUMBER(
            VLOOKUP(
                INDEX('Shared parameters'!$A$2:$A$200,
                       MATCH($A67,'Shared parameters'!$B$2:$B$200,0)
                ),
                'Data Entry'!$A$2:$B$200,
                2,
                FALSE
            )
        ),
        VLOOKUP(
            INDEX('Shared parameters'!$A$2:$A$200,
                   MATCH($A67,'Shared parameters'!$B$2:$B$200,0)
            ),
            'Data Entry'!$A$2:$B$200,
            2,
            FALSE
        ),
        """" &amp;
        VLOOKUP(
            INDEX('Shared parameters'!$A$2:$A$200,
                   MATCH($A67,'Shared parameters'!$B$2:$B$200,0)
            ),
            'Data Entry'!$A$2:$B$200,
            2,
            FALSE
        ) &amp;
        """"
    ),
"")</f>
        <v>""</v>
      </c>
    </row>
    <row r="68" spans="1:2" x14ac:dyDescent="0.3">
      <c r="A68" s="53" t="str">
        <f>INDEX(SharedParams[Name],ROW(B67))</f>
        <v>DPP_TMP_Soursing_km</v>
      </c>
      <c r="B68" s="53" t="str">
        <f>IFERROR(
    IF(
        ISNUMBER(
            VLOOKUP(
                INDEX('Shared parameters'!$A$2:$A$200,
                       MATCH($A68,'Shared parameters'!$B$2:$B$200,0)
                ),
                'Data Entry'!$A$2:$B$200,
                2,
                FALSE
            )
        ),
        VLOOKUP(
            INDEX('Shared parameters'!$A$2:$A$200,
                   MATCH($A68,'Shared parameters'!$B$2:$B$200,0)
            ),
            'Data Entry'!$A$2:$B$200,
            2,
            FALSE
        ),
        """" &amp;
        VLOOKUP(
            INDEX('Shared parameters'!$A$2:$A$200,
                   MATCH($A68,'Shared parameters'!$B$2:$B$200,0)
            ),
            'Data Entry'!$A$2:$B$200,
            2,
            FALSE
        ) &amp;
        """"
    ),
"")</f>
        <v>"&lt;500"</v>
      </c>
    </row>
    <row r="69" spans="1:2" x14ac:dyDescent="0.3">
      <c r="A69" s="53" t="str">
        <f>INDEX(SharedParams[Name],ROW(B68))</f>
        <v>DPP_TMP_Warranty</v>
      </c>
      <c r="B69" s="53" t="str">
        <f>IFERROR(
    IF(
        ISNUMBER(
            VLOOKUP(
                INDEX('Shared parameters'!$A$2:$A$200,
                       MATCH($A69,'Shared parameters'!$B$2:$B$200,0)
                ),
                'Data Entry'!$A$2:$B$200,
                2,
                FALSE
            )
        ),
        VLOOKUP(
            INDEX('Shared parameters'!$A$2:$A$200,
                   MATCH($A69,'Shared parameters'!$B$2:$B$200,0)
            ),
            'Data Entry'!$A$2:$B$200,
            2,
            FALSE
        ),
        """" &amp;
        VLOOKUP(
            INDEX('Shared parameters'!$A$2:$A$200,
                   MATCH($A69,'Shared parameters'!$B$2:$B$200,0)
            ),
            'Data Entry'!$A$2:$B$200,
            2,
            FALSE
        ) &amp;
        """"
    ),
"")</f>
        <v>"No"</v>
      </c>
    </row>
    <row r="70" spans="1:2" x14ac:dyDescent="0.3">
      <c r="A70" s="53" t="str">
        <f>INDEX(SharedParams[Name],ROW(B69))</f>
        <v>DPP_TMP_Warranty_months</v>
      </c>
      <c r="B70" s="53">
        <f>IFERROR(
    IF(
        ISNUMBER(
            VLOOKUP(
                INDEX('Shared parameters'!$A$2:$A$200,
                       MATCH($A70,'Shared parameters'!$B$2:$B$200,0)
                ),
                'Data Entry'!$A$2:$B$200,
                2,
                FALSE
            )
        ),
        VLOOKUP(
            INDEX('Shared parameters'!$A$2:$A$200,
                   MATCH($A70,'Shared parameters'!$B$2:$B$200,0)
            ),
            'Data Entry'!$A$2:$B$200,
            2,
            FALSE
        ),
        """" &amp;
        VLOOKUP(
            INDEX('Shared parameters'!$A$2:$A$200,
                   MATCH($A70,'Shared parameters'!$B$2:$B$200,0)
            ),
            'Data Entry'!$A$2:$B$200,
            2,
            FALSE
        ) &amp;
        """"
    ),
"")</f>
        <v>0</v>
      </c>
    </row>
    <row r="71" spans="1:2" x14ac:dyDescent="0.3">
      <c r="A71" s="53" t="str">
        <f>INDEX(SharedParams[Name],ROW(B70))</f>
        <v>DPP_TMP_UpdateHistory</v>
      </c>
      <c r="B71" s="53" t="str">
        <f>IFERROR(
    IF(
        ISNUMBER(
            VLOOKUP(
                INDEX('Shared parameters'!$A$2:$A$200,
                       MATCH($A71,'Shared parameters'!$B$2:$B$200,0)
                ),
                'Data Entry'!$A$2:$B$200,
                2,
                FALSE
            )
        ),
        VLOOKUP(
            INDEX('Shared parameters'!$A$2:$A$200,
                   MATCH($A71,'Shared parameters'!$B$2:$B$200,0)
            ),
            'Data Entry'!$A$2:$B$200,
            2,
            FALSE
        ),
        """" &amp;
        VLOOKUP(
            INDEX('Shared parameters'!$A$2:$A$200,
                   MATCH($A71,'Shared parameters'!$B$2:$B$200,0)
            ),
            'Data Entry'!$A$2:$B$200,
            2,
            FALSE
        ) &amp;
        """"
    ),
"")</f>
        <v>""</v>
      </c>
    </row>
    <row r="72" spans="1:2" x14ac:dyDescent="0.3">
      <c r="A72" s="53" t="str">
        <f>INDEX(SharedParams[Name],ROW(B71))</f>
        <v>DPP_SAD_HPD</v>
      </c>
      <c r="B72" s="53" t="str">
        <f>IFERROR(
    IF(
        ISNUMBER(
            VLOOKUP(
                INDEX('Shared parameters'!$A$2:$A$200,
                       MATCH($A72,'Shared parameters'!$B$2:$B$200,0)
                ),
                'Data Entry'!$A$2:$B$200,
                2,
                FALSE
            )
        ),
        VLOOKUP(
            INDEX('Shared parameters'!$A$2:$A$200,
                   MATCH($A72,'Shared parameters'!$B$2:$B$200,0)
            ),
            'Data Entry'!$A$2:$B$200,
            2,
            FALSE
        ),
        """" &amp;
        VLOOKUP(
            INDEX('Shared parameters'!$A$2:$A$200,
                   MATCH($A72,'Shared parameters'!$B$2:$B$200,0)
            ),
            'Data Entry'!$A$2:$B$200,
            2,
            FALSE
        ) &amp;
        """"
    ),
"")</f>
        <v>"No"</v>
      </c>
    </row>
    <row r="73" spans="1:2" x14ac:dyDescent="0.3">
      <c r="A73" s="53" t="str">
        <f>INDEX(SharedParams[Name],ROW(B72))</f>
        <v>DPP_SAD_HPD_URL</v>
      </c>
      <c r="B73" s="53" t="str">
        <f>IFERROR(
    IF(
        ISNUMBER(
            VLOOKUP(
                INDEX('Shared parameters'!$A$2:$A$200,
                       MATCH($A73,'Shared parameters'!$B$2:$B$200,0)
                ),
                'Data Entry'!$A$2:$B$200,
                2,
                FALSE
            )
        ),
        VLOOKUP(
            INDEX('Shared parameters'!$A$2:$A$200,
                   MATCH($A73,'Shared parameters'!$B$2:$B$200,0)
            ),
            'Data Entry'!$A$2:$B$200,
            2,
            FALSE
        ),
        """" &amp;
        VLOOKUP(
            INDEX('Shared parameters'!$A$2:$A$200,
                   MATCH($A73,'Shared parameters'!$B$2:$B$200,0)
            ),
            'Data Entry'!$A$2:$B$200,
            2,
            FALSE
        ) &amp;
        """"
    ),
"")</f>
        <v>"—"</v>
      </c>
    </row>
    <row r="74" spans="1:2" x14ac:dyDescent="0.3">
      <c r="A74" s="53" t="str">
        <f>INDEX(SharedParams[Name],ROW(B73))</f>
        <v>DPP_SAD_HazardClassification</v>
      </c>
      <c r="B74" s="53" t="str">
        <f>IFERROR(
    IF(
        ISNUMBER(
            VLOOKUP(
                INDEX('Shared parameters'!$A$2:$A$200,
                       MATCH($A74,'Shared parameters'!$B$2:$B$200,0)
                ),
                'Data Entry'!$A$2:$B$200,
                2,
                FALSE
            )
        ),
        VLOOKUP(
            INDEX('Shared parameters'!$A$2:$A$200,
                   MATCH($A74,'Shared parameters'!$B$2:$B$200,0)
            ),
            'Data Entry'!$A$2:$B$200,
            2,
            FALSE
        ),
        """" &amp;
        VLOOKUP(
            INDEX('Shared parameters'!$A$2:$A$200,
                   MATCH($A74,'Shared parameters'!$B$2:$B$200,0)
            ),
            'Data Entry'!$A$2:$B$200,
            2,
            FALSE
        ) &amp;
        """"
    ),
"")</f>
        <v>"Not classified as hazardous"</v>
      </c>
    </row>
    <row r="75" spans="1:2" x14ac:dyDescent="0.3">
      <c r="A75" s="53" t="str">
        <f>INDEX(SharedParams[Name],ROW(B74))</f>
        <v>DPP_SAD_PM_CTUh</v>
      </c>
      <c r="B75" s="53">
        <f>IFERROR(
    IF(
        ISNUMBER(
            VLOOKUP(
                INDEX('Shared parameters'!$A$2:$A$200,
                       MATCH($A75,'Shared parameters'!$B$2:$B$200,0)
                ),
                'Data Entry'!$A$2:$B$200,
                2,
                FALSE
            )
        ),
        VLOOKUP(
            INDEX('Shared parameters'!$A$2:$A$200,
                   MATCH($A75,'Shared parameters'!$B$2:$B$200,0)
            ),
            'Data Entry'!$A$2:$B$200,
            2,
            FALSE
        ),
        """" &amp;
        VLOOKUP(
            INDEX('Shared parameters'!$A$2:$A$200,
                   MATCH($A75,'Shared parameters'!$B$2:$B$200,0)
            ),
            'Data Entry'!$A$2:$B$200,
            2,
            FALSE
        ) &amp;
        """"
    ),
"")</f>
        <v>2.272E-7</v>
      </c>
    </row>
    <row r="76" spans="1:2" x14ac:dyDescent="0.3">
      <c r="A76" s="53" t="str">
        <f>INDEX(SharedParams[Name],ROW(B75))</f>
        <v>DPP_SAD_IRP_kBqU235eq</v>
      </c>
      <c r="B76" s="53">
        <f>IFERROR(
    IF(
        ISNUMBER(
            VLOOKUP(
                INDEX('Shared parameters'!$A$2:$A$200,
                       MATCH($A76,'Shared parameters'!$B$2:$B$200,0)
                ),
                'Data Entry'!$A$2:$B$200,
                2,
                FALSE
            )
        ),
        VLOOKUP(
            INDEX('Shared parameters'!$A$2:$A$200,
                   MATCH($A76,'Shared parameters'!$B$2:$B$200,0)
            ),
            'Data Entry'!$A$2:$B$200,
            2,
            FALSE
        ),
        """" &amp;
        VLOOKUP(
            INDEX('Shared parameters'!$A$2:$A$200,
                   MATCH($A76,'Shared parameters'!$B$2:$B$200,0)
            ),
            'Data Entry'!$A$2:$B$200,
            2,
            FALSE
        ) &amp;
        """"
    ),
"")</f>
        <v>1.6239999999999997E-2</v>
      </c>
    </row>
    <row r="77" spans="1:2" x14ac:dyDescent="0.3">
      <c r="A77" s="53" t="str">
        <f>INDEX(SharedParams[Name],ROW(B76))</f>
        <v xml:space="preserve">DPP_SAD_ETPfw_CTUe </v>
      </c>
      <c r="B77" s="53">
        <f>IFERROR(
    IF(
        ISNUMBER(
            VLOOKUP(
                INDEX('Shared parameters'!$A$2:$A$200,
                       MATCH($A77,'Shared parameters'!$B$2:$B$200,0)
                ),
                'Data Entry'!$A$2:$B$200,
                2,
                FALSE
            )
        ),
        VLOOKUP(
            INDEX('Shared parameters'!$A$2:$A$200,
                   MATCH($A77,'Shared parameters'!$B$2:$B$200,0)
            ),
            'Data Entry'!$A$2:$B$200,
            2,
            FALSE
        ),
        """" &amp;
        VLOOKUP(
            INDEX('Shared parameters'!$A$2:$A$200,
                   MATCH($A77,'Shared parameters'!$B$2:$B$200,0)
            ),
            'Data Entry'!$A$2:$B$200,
            2,
            FALSE
        ) &amp;
        """"
    ),
"")</f>
        <v>12.266567999999999</v>
      </c>
    </row>
    <row r="78" spans="1:2" x14ac:dyDescent="0.3">
      <c r="A78" s="53" t="str">
        <f>INDEX(SharedParams[Name],ROW(B77))</f>
        <v>DPP_SAD_HRPc_CTUh</v>
      </c>
      <c r="B78" s="53">
        <f>IFERROR(
    IF(
        ISNUMBER(
            VLOOKUP(
                INDEX('Shared parameters'!$A$2:$A$200,
                       MATCH($A78,'Shared parameters'!$B$2:$B$200,0)
                ),
                'Data Entry'!$A$2:$B$200,
                2,
                FALSE
            )
        ),
        VLOOKUP(
            INDEX('Shared parameters'!$A$2:$A$200,
                   MATCH($A78,'Shared parameters'!$B$2:$B$200,0)
            ),
            'Data Entry'!$A$2:$B$200,
            2,
            FALSE
        ),
        """" &amp;
        VLOOKUP(
            INDEX('Shared parameters'!$A$2:$A$200,
                   MATCH($A78,'Shared parameters'!$B$2:$B$200,0)
            ),
            'Data Entry'!$A$2:$B$200,
            2,
            FALSE
        ) &amp;
        """"
    ),
"")</f>
        <v>7.0708479999999998E-10</v>
      </c>
    </row>
    <row r="79" spans="1:2" x14ac:dyDescent="0.3">
      <c r="A79" s="53" t="str">
        <f>INDEX(SharedParams[Name],ROW(B78))</f>
        <v>DPP_SAD_HRPnc_CTUh</v>
      </c>
      <c r="B79" s="53">
        <f>IFERROR(
    IF(
        ISNUMBER(
            VLOOKUP(
                INDEX('Shared parameters'!$A$2:$A$200,
                       MATCH($A79,'Shared parameters'!$B$2:$B$200,0)
                ),
                'Data Entry'!$A$2:$B$200,
                2,
                FALSE
            )
        ),
        VLOOKUP(
            INDEX('Shared parameters'!$A$2:$A$200,
                   MATCH($A79,'Shared parameters'!$B$2:$B$200,0)
            ),
            'Data Entry'!$A$2:$B$200,
            2,
            FALSE
        ),
        """" &amp;
        VLOOKUP(
            INDEX('Shared parameters'!$A$2:$A$200,
                   MATCH($A79,'Shared parameters'!$B$2:$B$200,0)
            ),
            'Data Entry'!$A$2:$B$200,
            2,
            FALSE
        ) &amp;
        """"
    ),
"")</f>
        <v>2.3093359999999999E-8</v>
      </c>
    </row>
    <row r="80" spans="1:2" x14ac:dyDescent="0.3">
      <c r="A80" s="53" t="str">
        <f>INDEX(SharedParams[Name],ROW(B79))</f>
        <v>DPP_SAD_SQP</v>
      </c>
      <c r="B80" s="53">
        <f>IFERROR(
    IF(
        ISNUMBER(
            VLOOKUP(
                INDEX('Shared parameters'!$A$2:$A$200,
                       MATCH($A80,'Shared parameters'!$B$2:$B$200,0)
                ),
                'Data Entry'!$A$2:$B$200,
                2,
                FALSE
            )
        ),
        VLOOKUP(
            INDEX('Shared parameters'!$A$2:$A$200,
                   MATCH($A80,'Shared parameters'!$B$2:$B$200,0)
            ),
            'Data Entry'!$A$2:$B$200,
            2,
            FALSE
        ),
        """" &amp;
        VLOOKUP(
            INDEX('Shared parameters'!$A$2:$A$200,
                   MATCH($A80,'Shared parameters'!$B$2:$B$200,0)
            ),
            'Data Entry'!$A$2:$B$200,
            2,
            FALSE
        ) &amp;
        """"
    ),
"")</f>
        <v>62.72</v>
      </c>
    </row>
    <row r="81" spans="1:2" x14ac:dyDescent="0.3">
      <c r="A81" s="53" t="str">
        <f>INDEX(SharedParams[Name],ROW(B80))</f>
        <v>DPP_SAD_Toxicity</v>
      </c>
      <c r="B81" s="53" t="str">
        <f>IFERROR(
    IF(
        ISNUMBER(
            VLOOKUP(
                INDEX('Shared parameters'!$A$2:$A$200,
                       MATCH($A81,'Shared parameters'!$B$2:$B$200,0)
                ),
                'Data Entry'!$A$2:$B$200,
                2,
                FALSE
            )
        ),
        VLOOKUP(
            INDEX('Shared parameters'!$A$2:$A$200,
                   MATCH($A81,'Shared parameters'!$B$2:$B$200,0)
            ),
            'Data Entry'!$A$2:$B$200,
            2,
            FALSE
        ),
        """" &amp;
        VLOOKUP(
            INDEX('Shared parameters'!$A$2:$A$200,
                   MATCH($A81,'Shared parameters'!$B$2:$B$200,0)
            ),
            'Data Entry'!$A$2:$B$200,
            2,
            FALSE
        ) &amp;
        """"
    ),
"")</f>
        <v>"No"</v>
      </c>
    </row>
    <row r="82" spans="1:2" x14ac:dyDescent="0.3">
      <c r="A82" s="53" t="str">
        <f>INDEX(SharedParams[Name],ROW(B81))</f>
        <v>DPP_SAD_Fire_Class</v>
      </c>
      <c r="B82" s="53" t="str">
        <f>IFERROR(
    IF(
        ISNUMBER(
            VLOOKUP(
                INDEX('Shared parameters'!$A$2:$A$200,
                       MATCH($A82,'Shared parameters'!$B$2:$B$200,0)
                ),
                'Data Entry'!$A$2:$B$200,
                2,
                FALSE
            )
        ),
        VLOOKUP(
            INDEX('Shared parameters'!$A$2:$A$200,
                   MATCH($A82,'Shared parameters'!$B$2:$B$200,0)
            ),
            'Data Entry'!$A$2:$B$200,
            2,
            FALSE
        ),
        """" &amp;
        VLOOKUP(
            INDEX('Shared parameters'!$A$2:$A$200,
                   MATCH($A82,'Shared parameters'!$B$2:$B$200,0)
            ),
            'Data Entry'!$A$2:$B$200,
            2,
            FALSE
        ) &amp;
        """"
    ),
"")</f>
        <v>"B (Very limited contribution to fire)"</v>
      </c>
    </row>
    <row r="83" spans="1:2" x14ac:dyDescent="0.3">
      <c r="A83" s="53" t="str">
        <f>INDEX(SharedParams[Name],ROW(B82))</f>
        <v>DPP_SAD_Fire_Ssubclass</v>
      </c>
      <c r="B83" s="53" t="str">
        <f>IFERROR(
    IF(
        ISNUMBER(
            VLOOKUP(
                INDEX('Shared parameters'!$A$2:$A$200,
                       MATCH($A83,'Shared parameters'!$B$2:$B$200,0)
                ),
                'Data Entry'!$A$2:$B$200,
                2,
                FALSE
            )
        ),
        VLOOKUP(
            INDEX('Shared parameters'!$A$2:$A$200,
                   MATCH($A83,'Shared parameters'!$B$2:$B$200,0)
            ),
            'Data Entry'!$A$2:$B$200,
            2,
            FALSE
        ),
        """" &amp;
        VLOOKUP(
            INDEX('Shared parameters'!$A$2:$A$200,
                   MATCH($A83,'Shared parameters'!$B$2:$B$200,0)
            ),
            'Data Entry'!$A$2:$B$200,
            2,
            FALSE
        ) &amp;
        """"
    ),
"")</f>
        <v>"s1 (Little or no smoke)"</v>
      </c>
    </row>
    <row r="84" spans="1:2" x14ac:dyDescent="0.3">
      <c r="A84" s="53" t="str">
        <f>INDEX(SharedParams[Name],ROW(B83))</f>
        <v>DPP_SAD_Fire_Dsubclass</v>
      </c>
      <c r="B84" s="53" t="str">
        <f>IFERROR(
    IF(
        ISNUMBER(
            VLOOKUP(
                INDEX('Shared parameters'!$A$2:$A$200,
                       MATCH($A84,'Shared parameters'!$B$2:$B$200,0)
                ),
                'Data Entry'!$A$2:$B$200,
                2,
                FALSE
            )
        ),
        VLOOKUP(
            INDEX('Shared parameters'!$A$2:$A$200,
                   MATCH($A84,'Shared parameters'!$B$2:$B$200,0)
            ),
            'Data Entry'!$A$2:$B$200,
            2,
            FALSE
        ),
        """" &amp;
        VLOOKUP(
            INDEX('Shared parameters'!$A$2:$A$200,
                   MATCH($A84,'Shared parameters'!$B$2:$B$200,0)
            ),
            'Data Entry'!$A$2:$B$200,
            2,
            FALSE
        ) &amp;
        """"
    ),
"")</f>
        <v>"d0 (No flaming droplets or particles)"</v>
      </c>
    </row>
    <row r="85" spans="1:2" x14ac:dyDescent="0.3">
      <c r="A85" s="53" t="str">
        <f>INDEX(SharedParams[Name],ROW(B84))</f>
        <v>DPP_SAD_FireResistance</v>
      </c>
      <c r="B85" s="53" t="str">
        <f>IFERROR(
    IF(
        ISNUMBER(
            VLOOKUP(
                INDEX('Shared parameters'!$A$2:$A$200,
                       MATCH($A85,'Shared parameters'!$B$2:$B$200,0)
                ),
                'Data Entry'!$A$2:$B$200,
                2,
                FALSE
            )
        ),
        VLOOKUP(
            INDEX('Shared parameters'!$A$2:$A$200,
                   MATCH($A85,'Shared parameters'!$B$2:$B$200,0)
            ),
            'Data Entry'!$A$2:$B$200,
            2,
            FALSE
        ),
        """" &amp;
        VLOOKUP(
            INDEX('Shared parameters'!$A$2:$A$200,
                   MATCH($A85,'Shared parameters'!$B$2:$B$200,0)
            ),
            'Data Entry'!$A$2:$B$200,
            2,
            FALSE
        ) &amp;
        """"
    ),
"")</f>
        <v>"B-s1; d0"</v>
      </c>
    </row>
    <row r="86" spans="1:2" x14ac:dyDescent="0.3">
      <c r="A86" s="53" t="str">
        <f>INDEX(SharedParams[Name],ROW(B85))</f>
        <v>DPP_SAD_Coatings</v>
      </c>
      <c r="B86" s="53" t="str">
        <f>IFERROR(
    IF(
        ISNUMBER(
            VLOOKUP(
                INDEX('Shared parameters'!$A$2:$A$200,
                       MATCH($A86,'Shared parameters'!$B$2:$B$200,0)
                ),
                'Data Entry'!$A$2:$B$200,
                2,
                FALSE
            )
        ),
        VLOOKUP(
            INDEX('Shared parameters'!$A$2:$A$200,
                   MATCH($A86,'Shared parameters'!$B$2:$B$200,0)
            ),
            'Data Entry'!$A$2:$B$200,
            2,
            FALSE
        ),
        """" &amp;
        VLOOKUP(
            INDEX('Shared parameters'!$A$2:$A$200,
                   MATCH($A86,'Shared parameters'!$B$2:$B$200,0)
            ),
            'Data Entry'!$A$2:$B$200,
            2,
            FALSE
        ) &amp;
        """"
    ),
"")</f>
        <v>"Yes"</v>
      </c>
    </row>
    <row r="87" spans="1:2" x14ac:dyDescent="0.3">
      <c r="A87" s="53" t="str">
        <f>INDEX(SharedParams[Name],ROW(B86))</f>
        <v>DPP_SAD_CoatingType</v>
      </c>
      <c r="B87" s="53" t="str">
        <f>IFERROR(
    IF(
        ISNUMBER(
            VLOOKUP(
                INDEX('Shared parameters'!$A$2:$A$200,
                       MATCH($A87,'Shared parameters'!$B$2:$B$200,0)
                ),
                'Data Entry'!$A$2:$B$200,
                2,
                FALSE
            )
        ),
        VLOOKUP(
            INDEX('Shared parameters'!$A$2:$A$200,
                   MATCH($A87,'Shared parameters'!$B$2:$B$200,0)
            ),
            'Data Entry'!$A$2:$B$200,
            2,
            FALSE
        ),
        """" &amp;
        VLOOKUP(
            INDEX('Shared parameters'!$A$2:$A$200,
                   MATCH($A87,'Shared parameters'!$B$2:$B$200,0)
            ),
            'Data Entry'!$A$2:$B$200,
            2,
            FALSE
        ) &amp;
        """"
    ),
"")</f>
        <v>"breathable, vapor-permeable coatings, including lime-based plaster and natural mineral paints"</v>
      </c>
    </row>
    <row r="88" spans="1:2" x14ac:dyDescent="0.3">
      <c r="A88" s="53" t="str">
        <f>INDEX(SharedParams[Name],ROW(B87))</f>
        <v>DPP_SAD_PPERequirements</v>
      </c>
      <c r="B88" s="53" t="str">
        <f>IFERROR(
    IF(
        ISNUMBER(
            VLOOKUP(
                INDEX('Shared parameters'!$A$2:$A$200,
                       MATCH($A88,'Shared parameters'!$B$2:$B$200,0)
                ),
                'Data Entry'!$A$2:$B$200,
                2,
                FALSE
            )
        ),
        VLOOKUP(
            INDEX('Shared parameters'!$A$2:$A$200,
                   MATCH($A88,'Shared parameters'!$B$2:$B$200,0)
            ),
            'Data Entry'!$A$2:$B$200,
            2,
            FALSE
        ),
        """" &amp;
        VLOOKUP(
            INDEX('Shared parameters'!$A$2:$A$200,
                   MATCH($A88,'Shared parameters'!$B$2:$B$200,0)
            ),
            'Data Entry'!$A$2:$B$200,
            2,
            FALSE
        ) &amp;
        """"
    ),
"")</f>
        <v>""</v>
      </c>
    </row>
    <row r="89" spans="1:2" x14ac:dyDescent="0.3">
      <c r="A89" s="53" t="str">
        <f>INDEX(SharedParams[Name],ROW(B88))</f>
        <v>DPP_SAD_Compliance</v>
      </c>
      <c r="B89" s="53" t="str">
        <f>IFERROR(
    IF(
        ISNUMBER(
            VLOOKUP(
                INDEX('Shared parameters'!$A$2:$A$200,
                       MATCH($A89,'Shared parameters'!$B$2:$B$200,0)
                ),
                'Data Entry'!$A$2:$B$200,
                2,
                FALSE
            )
        ),
        VLOOKUP(
            INDEX('Shared parameters'!$A$2:$A$200,
                   MATCH($A89,'Shared parameters'!$B$2:$B$200,0)
            ),
            'Data Entry'!$A$2:$B$200,
            2,
            FALSE
        ),
        """" &amp;
        VLOOKUP(
            INDEX('Shared parameters'!$A$2:$A$200,
                   MATCH($A89,'Shared parameters'!$B$2:$B$200,0)
            ),
            'Data Entry'!$A$2:$B$200,
            2,
            FALSE
        ) &amp;
        """"
    ),
"")</f>
        <v>"Yes"</v>
      </c>
    </row>
    <row r="90" spans="1:2" x14ac:dyDescent="0.3">
      <c r="A90" s="53" t="str">
        <f>INDEX(SharedParams[Name],ROW(B89))</f>
        <v>DPP_ASD_SAC</v>
      </c>
      <c r="B90" s="53">
        <f>IFERROR(
    IF(
        ISNUMBER(
            VLOOKUP(
                INDEX('Shared parameters'!$A$2:$A$200,
                       MATCH($A90,'Shared parameters'!$B$2:$B$200,0)
                ),
                'Data Entry'!$A$2:$B$200,
                2,
                FALSE
            )
        ),
        VLOOKUP(
            INDEX('Shared parameters'!$A$2:$A$200,
                   MATCH($A90,'Shared parameters'!$B$2:$B$200,0)
            ),
            'Data Entry'!$A$2:$B$200,
            2,
            FALSE
        ),
        """" &amp;
        VLOOKUP(
            INDEX('Shared parameters'!$A$2:$A$200,
                   MATCH($A90,'Shared parameters'!$B$2:$B$200,0)
            ),
            'Data Entry'!$A$2:$B$200,
            2,
            FALSE
        ) &amp;
        """"
    ),
"")</f>
        <v>0.8</v>
      </c>
    </row>
    <row r="91" spans="1:2" x14ac:dyDescent="0.3">
      <c r="A91" s="53" t="str">
        <f>INDEX(SharedParams[Name],ROW(B90))</f>
        <v>DPP_ASD_SAI_db</v>
      </c>
      <c r="B91" s="53" t="str">
        <f>IFERROR(
    IF(
        ISNUMBER(
            VLOOKUP(
                INDEX('Shared parameters'!$A$2:$A$200,
                       MATCH($A91,'Shared parameters'!$B$2:$B$200,0)
                ),
                'Data Entry'!$A$2:$B$200,
                2,
                FALSE
            )
        ),
        VLOOKUP(
            INDEX('Shared parameters'!$A$2:$A$200,
                   MATCH($A91,'Shared parameters'!$B$2:$B$200,0)
            ),
            'Data Entry'!$A$2:$B$200,
            2,
            FALSE
        ),
        """" &amp;
        VLOOKUP(
            INDEX('Shared parameters'!$A$2:$A$200,
                   MATCH($A91,'Shared parameters'!$B$2:$B$200,0)
            ),
            'Data Entry'!$A$2:$B$200,
            2,
            FALSE
        ) &amp;
        """"
    ),
"")</f>
        <v>"&gt;-41"</v>
      </c>
    </row>
    <row r="92" spans="1:2" x14ac:dyDescent="0.3">
      <c r="A92" s="53" t="str">
        <f>INDEX(SharedParams[Name],ROW(B91))</f>
        <v>DPP_ASD_Color</v>
      </c>
      <c r="B92" s="53" t="str">
        <f>IFERROR(
    IF(
        ISNUMBER(
            VLOOKUP(
                INDEX('Shared parameters'!$A$2:$A$200,
                       MATCH($A92,'Shared parameters'!$B$2:$B$200,0)
                ),
                'Data Entry'!$A$2:$B$200,
                2,
                FALSE
            )
        ),
        VLOOKUP(
            INDEX('Shared parameters'!$A$2:$A$200,
                   MATCH($A92,'Shared parameters'!$B$2:$B$200,0)
            ),
            'Data Entry'!$A$2:$B$200,
            2,
            FALSE
        ),
        """" &amp;
        VLOOKUP(
            INDEX('Shared parameters'!$A$2:$A$200,
                   MATCH($A92,'Shared parameters'!$B$2:$B$200,0)
            ),
            'Data Entry'!$A$2:$B$200,
            2,
            FALSE
        ) &amp;
        """"
    ),
"")</f>
        <v>"Natural Beige #D8C9A6"</v>
      </c>
    </row>
    <row r="93" spans="1:2" x14ac:dyDescent="0.3">
      <c r="A93" s="53" t="str">
        <f>INDEX(SharedParams[Name],ROW(B92))</f>
        <v>DPP_ASD_Odor</v>
      </c>
      <c r="B93" s="53" t="str">
        <f>IFERROR(
    IF(
        ISNUMBER(
            VLOOKUP(
                INDEX('Shared parameters'!$A$2:$A$200,
                       MATCH($A93,'Shared parameters'!$B$2:$B$200,0)
                ),
                'Data Entry'!$A$2:$B$200,
                2,
                FALSE
            )
        ),
        VLOOKUP(
            INDEX('Shared parameters'!$A$2:$A$200,
                   MATCH($A93,'Shared parameters'!$B$2:$B$200,0)
            ),
            'Data Entry'!$A$2:$B$200,
            2,
            FALSE
        ),
        """" &amp;
        VLOOKUP(
            INDEX('Shared parameters'!$A$2:$A$200,
                   MATCH($A93,'Shared parameters'!$B$2:$B$200,0)
            ),
            'Data Entry'!$A$2:$B$200,
            2,
            FALSE
        ) &amp;
        """"
    ),
"")</f>
        <v>"Mild, earthy, lime-fresh scent"</v>
      </c>
    </row>
    <row r="94" spans="1:2" x14ac:dyDescent="0.3">
      <c r="A94" s="53" t="str">
        <f>INDEX(SharedParams[Name],ROW(B93))</f>
        <v>DPP_ASD_Texture</v>
      </c>
      <c r="B94" s="53" t="str">
        <f>IFERROR(
    IF(
        ISNUMBER(
            VLOOKUP(
                INDEX('Shared parameters'!$A$2:$A$200,
                       MATCH($A94,'Shared parameters'!$B$2:$B$200,0)
                ),
                'Data Entry'!$A$2:$B$200,
                2,
                FALSE
            )
        ),
        VLOOKUP(
            INDEX('Shared parameters'!$A$2:$A$200,
                   MATCH($A94,'Shared parameters'!$B$2:$B$200,0)
            ),
            'Data Entry'!$A$2:$B$200,
            2,
            FALSE
        ),
        """" &amp;
        VLOOKUP(
            INDEX('Shared parameters'!$A$2:$A$200,
                   MATCH($A94,'Shared parameters'!$B$2:$B$200,0)
            ),
            'Data Entry'!$A$2:$B$200,
            2,
            FALSE
        ) &amp;
        """"
    ),
"")</f>
        <v>"Porous, fibrous, and dry to the touch"</v>
      </c>
    </row>
    <row r="95" spans="1:2" x14ac:dyDescent="0.3">
      <c r="A95" s="53" t="str">
        <f>INDEX(SharedParams[Name],ROW(B94))</f>
        <v>DPP_ASD_Temp</v>
      </c>
      <c r="B95" s="53" t="str">
        <f>IFERROR(
    IF(
        ISNUMBER(
            VLOOKUP(
                INDEX('Shared parameters'!$A$2:$A$200,
                       MATCH($A95,'Shared parameters'!$B$2:$B$200,0)
                ),
                'Data Entry'!$A$2:$B$200,
                2,
                FALSE
            )
        ),
        VLOOKUP(
            INDEX('Shared parameters'!$A$2:$A$200,
                   MATCH($A95,'Shared parameters'!$B$2:$B$200,0)
            ),
            'Data Entry'!$A$2:$B$200,
            2,
            FALSE
        ),
        """" &amp;
        VLOOKUP(
            INDEX('Shared parameters'!$A$2:$A$200,
                   MATCH($A95,'Shared parameters'!$B$2:$B$200,0)
            ),
            'Data Entry'!$A$2:$B$200,
            2,
            FALSE
        ) &amp;
        """"
    ),
"")</f>
        <v>"Feels thermally neutral or slightly warm"</v>
      </c>
    </row>
    <row r="96" spans="1:2" x14ac:dyDescent="0.3">
      <c r="A96" s="53" t="str">
        <f>INDEX(SharedParams[Name],ROW(B95))</f>
        <v>DPP_ASD_ClimateSuitability</v>
      </c>
      <c r="B96" s="53" t="str">
        <f>IFERROR(
    IF(
        ISNUMBER(
            VLOOKUP(
                INDEX('Shared parameters'!$A$2:$A$200,
                       MATCH($A96,'Shared parameters'!$B$2:$B$200,0)
                ),
                'Data Entry'!$A$2:$B$200,
                2,
                FALSE
            )
        ),
        VLOOKUP(
            INDEX('Shared parameters'!$A$2:$A$200,
                   MATCH($A96,'Shared parameters'!$B$2:$B$200,0)
            ),
            'Data Entry'!$A$2:$B$200,
            2,
            FALSE
        ),
        """" &amp;
        VLOOKUP(
            INDEX('Shared parameters'!$A$2:$A$200,
                   MATCH($A96,'Shared parameters'!$B$2:$B$200,0)
            ),
            'Data Entry'!$A$2:$B$200,
            2,
            FALSE
        ) &amp;
        """"
    ),
"")</f>
        <v>"Varied"</v>
      </c>
    </row>
    <row r="97" spans="1:2" x14ac:dyDescent="0.3">
      <c r="A97" s="53" t="str">
        <f>INDEX(SharedParams[Name],ROW(B96))</f>
        <v>DPP_ASD_AgriculturalValue</v>
      </c>
      <c r="B97" s="53" t="str">
        <f>IFERROR(
    IF(
        ISNUMBER(
            VLOOKUP(
                INDEX('Shared parameters'!$A$2:$A$200,
                       MATCH($A97,'Shared parameters'!$B$2:$B$200,0)
                ),
                'Data Entry'!$A$2:$B$200,
                2,
                FALSE
            )
        ),
        VLOOKUP(
            INDEX('Shared parameters'!$A$2:$A$200,
                   MATCH($A97,'Shared parameters'!$B$2:$B$200,0)
            ),
            'Data Entry'!$A$2:$B$200,
            2,
            FALSE
        ),
        """" &amp;
        VLOOKUP(
            INDEX('Shared parameters'!$A$2:$A$200,
                   MATCH($A97,'Shared parameters'!$B$2:$B$200,0)
            ),
            'Data Entry'!$A$2:$B$200,
            2,
            FALSE
        ) &amp;
        """"
    ),
"")</f>
        <v>"High"</v>
      </c>
    </row>
    <row r="98" spans="1:2" x14ac:dyDescent="0.3">
      <c r="A98" s="53" t="str">
        <f>INDEX(SharedParams[Name],ROW(B97))</f>
        <v>DPP_ASD_ResourseAvailability</v>
      </c>
      <c r="B98" s="53" t="str">
        <f>IFERROR(
    IF(
        ISNUMBER(
            VLOOKUP(
                INDEX('Shared parameters'!$A$2:$A$200,
                       MATCH($A98,'Shared parameters'!$B$2:$B$200,0)
                ),
                'Data Entry'!$A$2:$B$200,
                2,
                FALSE
            )
        ),
        VLOOKUP(
            INDEX('Shared parameters'!$A$2:$A$200,
                   MATCH($A98,'Shared parameters'!$B$2:$B$200,0)
            ),
            'Data Entry'!$A$2:$B$200,
            2,
            FALSE
        ),
        """" &amp;
        VLOOKUP(
            INDEX('Shared parameters'!$A$2:$A$200,
                   MATCH($A98,'Shared parameters'!$B$2:$B$200,0)
            ),
            'Data Entry'!$A$2:$B$200,
            2,
            FALSE
        ) &amp;
        """"
    ),
"")</f>
        <v>"Regional"</v>
      </c>
    </row>
    <row r="99" spans="1:2" x14ac:dyDescent="0.3">
      <c r="A99" s="53" t="str">
        <f>INDEX(SharedParams[Name],ROW(B98))</f>
        <v>DPP_ASD_Aging</v>
      </c>
      <c r="B99" s="53">
        <f>IFERROR(
    IF(
        ISNUMBER(
            VLOOKUP(
                INDEX('Shared parameters'!$A$2:$A$200,
                       MATCH($A99,'Shared parameters'!$B$2:$B$200,0)
                ),
                'Data Entry'!$A$2:$B$200,
                2,
                FALSE
            )
        ),
        VLOOKUP(
            INDEX('Shared parameters'!$A$2:$A$200,
                   MATCH($A99,'Shared parameters'!$B$2:$B$200,0)
            ),
            'Data Entry'!$A$2:$B$200,
            2,
            FALSE
        ),
        """" &amp;
        VLOOKUP(
            INDEX('Shared parameters'!$A$2:$A$200,
                   MATCH($A99,'Shared parameters'!$B$2:$B$200,0)
            ),
            'Data Entry'!$A$2:$B$200,
            2,
            FALSE
        ) &amp;
        """"
    ),
"")</f>
        <v>4</v>
      </c>
    </row>
    <row r="100" spans="1:2" x14ac:dyDescent="0.3">
      <c r="A100" s="53" t="str">
        <f>INDEX(SharedParams[Name],ROW(B99))</f>
        <v>DPP_ASD_Architectural</v>
      </c>
      <c r="B100" s="53">
        <f>IFERROR(
    IF(
        ISNUMBER(
            VLOOKUP(
                INDEX('Shared parameters'!$A$2:$A$200,
                       MATCH($A100,'Shared parameters'!$B$2:$B$200,0)
                ),
                'Data Entry'!$A$2:$B$200,
                2,
                FALSE
            )
        ),
        VLOOKUP(
            INDEX('Shared parameters'!$A$2:$A$200,
                   MATCH($A100,'Shared parameters'!$B$2:$B$200,0)
            ),
            'Data Entry'!$A$2:$B$200,
            2,
            FALSE
        ),
        """" &amp;
        VLOOKUP(
            INDEX('Shared parameters'!$A$2:$A$200,
                   MATCH($A100,'Shared parameters'!$B$2:$B$200,0)
            ),
            'Data Entry'!$A$2:$B$200,
            2,
            FALSE
        ) &amp;
        """"
    ),
"")</f>
        <v>4</v>
      </c>
    </row>
    <row r="101" spans="1:2" x14ac:dyDescent="0.3">
      <c r="A101" s="53" t="str">
        <f>INDEX(SharedParams[Name],ROW(B100))</f>
        <v>DPP_ASD_Aesthetic</v>
      </c>
      <c r="B101" s="53">
        <f>IFERROR(
    IF(
        ISNUMBER(
            VLOOKUP(
                INDEX('Shared parameters'!$A$2:$A$200,
                       MATCH($A101,'Shared parameters'!$B$2:$B$200,0)
                ),
                'Data Entry'!$A$2:$B$200,
                2,
                FALSE
            )
        ),
        VLOOKUP(
            INDEX('Shared parameters'!$A$2:$A$200,
                   MATCH($A101,'Shared parameters'!$B$2:$B$200,0)
            ),
            'Data Entry'!$A$2:$B$200,
            2,
            FALSE
        ),
        """" &amp;
        VLOOKUP(
            INDEX('Shared parameters'!$A$2:$A$200,
                   MATCH($A101,'Shared parameters'!$B$2:$B$200,0)
            ),
            'Data Entry'!$A$2:$B$200,
            2,
            FALSE
        ) &amp;
        """"
    ),
"")</f>
        <v>5</v>
      </c>
    </row>
    <row r="102" spans="1:2" x14ac:dyDescent="0.3">
      <c r="A102" s="53" t="str">
        <f>INDEX(SharedParams[Name],ROW(B101))</f>
        <v>DPP_ASD_ComfortThermal</v>
      </c>
      <c r="B102" s="53" t="str">
        <f>IFERROR(
    IF(
        ISNUMBER(
            VLOOKUP(
                INDEX('Shared parameters'!$A$2:$A$200,
                       MATCH($A102,'Shared parameters'!$B$2:$B$200,0)
                ),
                'Data Entry'!$A$2:$B$200,
                2,
                FALSE
            )
        ),
        VLOOKUP(
            INDEX('Shared parameters'!$A$2:$A$200,
                   MATCH($A102,'Shared parameters'!$B$2:$B$200,0)
            ),
            'Data Entry'!$A$2:$B$200,
            2,
            FALSE
        ),
        """" &amp;
        VLOOKUP(
            INDEX('Shared parameters'!$A$2:$A$200,
                   MATCH($A102,'Shared parameters'!$B$2:$B$200,0)
            ),
            'Data Entry'!$A$2:$B$200,
            2,
            FALSE
        ) &amp;
        """"
    ),
"")</f>
        <v>"Provides insulation, stabilizes indoor temperature, reduces overheating and heat loss."</v>
      </c>
    </row>
    <row r="103" spans="1:2" x14ac:dyDescent="0.3">
      <c r="A103" s="53" t="str">
        <f>INDEX(SharedParams[Name],ROW(B102))</f>
        <v>DPP_ASD_ComfortHygrothermal</v>
      </c>
      <c r="B103" s="53" t="str">
        <f>IFERROR(
    IF(
        ISNUMBER(
            VLOOKUP(
                INDEX('Shared parameters'!$A$2:$A$200,
                       MATCH($A103,'Shared parameters'!$B$2:$B$200,0)
                ),
                'Data Entry'!$A$2:$B$200,
                2,
                FALSE
            )
        ),
        VLOOKUP(
            INDEX('Shared parameters'!$A$2:$A$200,
                   MATCH($A103,'Shared parameters'!$B$2:$B$200,0)
            ),
            'Data Entry'!$A$2:$B$200,
            2,
            FALSE
        ),
        """" &amp;
        VLOOKUP(
            INDEX('Shared parameters'!$A$2:$A$200,
                   MATCH($A103,'Shared parameters'!$B$2:$B$200,0)
            ),
            'Data Entry'!$A$2:$B$200,
            2,
            FALSE
        ) &amp;
        """"
    ),
"")</f>
        <v>"Regulates indoor humidity, doees not prevent condensation and mold, enhances air quality."</v>
      </c>
    </row>
    <row r="104" spans="1:2" x14ac:dyDescent="0.3">
      <c r="A104" s="53" t="str">
        <f>INDEX(SharedParams[Name],ROW(B103))</f>
        <v>DPP_ASD_ComfortAcoustic</v>
      </c>
      <c r="B104" s="53" t="str">
        <f>IFERROR(
    IF(
        ISNUMBER(
            VLOOKUP(
                INDEX('Shared parameters'!$A$2:$A$200,
                       MATCH($A104,'Shared parameters'!$B$2:$B$200,0)
                ),
                'Data Entry'!$A$2:$B$200,
                2,
                FALSE
            )
        ),
        VLOOKUP(
            INDEX('Shared parameters'!$A$2:$A$200,
                   MATCH($A104,'Shared parameters'!$B$2:$B$200,0)
            ),
            'Data Entry'!$A$2:$B$200,
            2,
            FALSE
        ),
        """" &amp;
        VLOOKUP(
            INDEX('Shared parameters'!$A$2:$A$200,
                   MATCH($A104,'Shared parameters'!$B$2:$B$200,0)
            ),
            'Data Entry'!$A$2:$B$200,
            2,
            FALSE
        ) &amp;
        """"
    ),
"")</f>
        <v>"Good sound absorption due to porous structure, reduces noise transmission and reverberation."</v>
      </c>
    </row>
    <row r="105" spans="1:2" x14ac:dyDescent="0.3">
      <c r="A105" s="53" t="str">
        <f>INDEX(SharedParams[Name],ROW(B104))</f>
        <v>DPP_ASD_ComfortMaterial</v>
      </c>
      <c r="B105" s="53" t="str">
        <f>IFERROR(
    IF(
        ISNUMBER(
            VLOOKUP(
                INDEX('Shared parameters'!$A$2:$A$200,
                       MATCH($A105,'Shared parameters'!$B$2:$B$200,0)
                ),
                'Data Entry'!$A$2:$B$200,
                2,
                FALSE
            )
        ),
        VLOOKUP(
            INDEX('Shared parameters'!$A$2:$A$200,
                   MATCH($A105,'Shared parameters'!$B$2:$B$200,0)
            ),
            'Data Entry'!$A$2:$B$200,
            2,
            FALSE
        ),
        """" &amp;
        VLOOKUP(
            INDEX('Shared parameters'!$A$2:$A$200,
                   MATCH($A105,'Shared parameters'!$B$2:$B$200,0)
            ),
            'Data Entry'!$A$2:$B$200,
            2,
            FALSE
        ) &amp;
        """"
    ),
"")</f>
        <v>"Non-toxic, breathable, natural aesthetics, supports psychological well-being."</v>
      </c>
    </row>
    <row r="106" spans="1:2" x14ac:dyDescent="0.3">
      <c r="A106" s="53" t="str">
        <f>INDEX(SharedParams[Name],ROW(B105))</f>
        <v>DPP_ASD_Craft</v>
      </c>
      <c r="B106" s="53">
        <f>IFERROR(
    IF(
        ISNUMBER(
            VLOOKUP(
                INDEX('Shared parameters'!$A$2:$A$200,
                       MATCH($A106,'Shared parameters'!$B$2:$B$200,0)
                ),
                'Data Entry'!$A$2:$B$200,
                2,
                FALSE
            )
        ),
        VLOOKUP(
            INDEX('Shared parameters'!$A$2:$A$200,
                   MATCH($A106,'Shared parameters'!$B$2:$B$200,0)
            ),
            'Data Entry'!$A$2:$B$200,
            2,
            FALSE
        ),
        """" &amp;
        VLOOKUP(
            INDEX('Shared parameters'!$A$2:$A$200,
                   MATCH($A106,'Shared parameters'!$B$2:$B$200,0)
            ),
            'Data Entry'!$A$2:$B$200,
            2,
            FALSE
        ) &amp;
        """"
    ),
"")</f>
        <v>2</v>
      </c>
    </row>
    <row r="107" spans="1:2" x14ac:dyDescent="0.3">
      <c r="A107" s="53" t="str">
        <f>INDEX(SharedParams[Name],ROW(B106))</f>
        <v>DPP_ASD_Symbolism</v>
      </c>
      <c r="B107" s="53">
        <f>IFERROR(
    IF(
        ISNUMBER(
            VLOOKUP(
                INDEX('Shared parameters'!$A$2:$A$200,
                       MATCH($A107,'Shared parameters'!$B$2:$B$200,0)
                ),
                'Data Entry'!$A$2:$B$200,
                2,
                FALSE
            )
        ),
        VLOOKUP(
            INDEX('Shared parameters'!$A$2:$A$200,
                   MATCH($A107,'Shared parameters'!$B$2:$B$200,0)
            ),
            'Data Entry'!$A$2:$B$200,
            2,
            FALSE
        ),
        """" &amp;
        VLOOKUP(
            INDEX('Shared parameters'!$A$2:$A$200,
                   MATCH($A107,'Shared parameters'!$B$2:$B$200,0)
            ),
            'Data Entry'!$A$2:$B$200,
            2,
            FALSE
        ) &amp;
        """"
    ),
"")</f>
        <v>4</v>
      </c>
    </row>
    <row r="108" spans="1:2" x14ac:dyDescent="0.3">
      <c r="A108" s="53" t="str">
        <f>INDEX(SharedParams[Name],ROW(B107))</f>
        <v>DPP_COD_UnitCost_EUR</v>
      </c>
      <c r="B108" s="53">
        <f>IFERROR(
    IF(
        ISNUMBER(
            VLOOKUP(
                INDEX('Shared parameters'!$A$2:$A$200,
                       MATCH($A108,'Shared parameters'!$B$2:$B$200,0)
                ),
                'Data Entry'!$A$2:$B$200,
                2,
                FALSE
            )
        ),
        VLOOKUP(
            INDEX('Shared parameters'!$A$2:$A$200,
                   MATCH($A108,'Shared parameters'!$B$2:$B$200,0)
            ),
            'Data Entry'!$A$2:$B$200,
            2,
            FALSE
        ),
        """" &amp;
        VLOOKUP(
            INDEX('Shared parameters'!$A$2:$A$200,
                   MATCH($A108,'Shared parameters'!$B$2:$B$200,0)
            ),
            'Data Entry'!$A$2:$B$200,
            2,
            FALSE
        ) &amp;
        """"
    ),
"")</f>
        <v>3.8</v>
      </c>
    </row>
    <row r="109" spans="1:2" x14ac:dyDescent="0.3">
      <c r="A109" s="53" t="str">
        <f>INDEX(SharedParams[Name],ROW(B108))</f>
        <v>DPP_COD_Assembly_EUR</v>
      </c>
      <c r="B109" s="53">
        <f>IFERROR(
    IF(
        ISNUMBER(
            VLOOKUP(
                INDEX('Shared parameters'!$A$2:$A$200,
                       MATCH($A109,'Shared parameters'!$B$2:$B$200,0)
                ),
                'Data Entry'!$A$2:$B$200,
                2,
                FALSE
            )
        ),
        VLOOKUP(
            INDEX('Shared parameters'!$A$2:$A$200,
                   MATCH($A109,'Shared parameters'!$B$2:$B$200,0)
            ),
            'Data Entry'!$A$2:$B$200,
            2,
            FALSE
        ),
        """" &amp;
        VLOOKUP(
            INDEX('Shared parameters'!$A$2:$A$200,
                   MATCH($A109,'Shared parameters'!$B$2:$B$200,0)
            ),
            'Data Entry'!$A$2:$B$200,
            2,
            FALSE
        ) &amp;
        """"
    ),
"")</f>
        <v>30.4</v>
      </c>
    </row>
    <row r="110" spans="1:2" x14ac:dyDescent="0.3">
      <c r="A110" s="53" t="str">
        <f>INDEX(SharedParams[Name],ROW(B109))</f>
        <v>DPP_COD_Maintenance_EUR</v>
      </c>
      <c r="B110" s="53">
        <f>IFERROR(
    IF(
        ISNUMBER(
            VLOOKUP(
                INDEX('Shared parameters'!$A$2:$A$200,
                       MATCH($A110,'Shared parameters'!$B$2:$B$200,0)
                ),
                'Data Entry'!$A$2:$B$200,
                2,
                FALSE
            )
        ),
        VLOOKUP(
            INDEX('Shared parameters'!$A$2:$A$200,
                   MATCH($A110,'Shared parameters'!$B$2:$B$200,0)
            ),
            'Data Entry'!$A$2:$B$200,
            2,
            FALSE
        ),
        """" &amp;
        VLOOKUP(
            INDEX('Shared parameters'!$A$2:$A$200,
                   MATCH($A110,'Shared parameters'!$B$2:$B$200,0)
            ),
            'Data Entry'!$A$2:$B$200,
            2,
            FALSE
        ) &amp;
        """"
    ),
"")</f>
        <v>30</v>
      </c>
    </row>
    <row r="111" spans="1:2" x14ac:dyDescent="0.3">
      <c r="A111" s="53" t="str">
        <f>INDEX(SharedParams[Name],ROW(B110))</f>
        <v>DPP_COD_CircularBenefit_EUR</v>
      </c>
      <c r="B111" s="53">
        <f>IFERROR(
    IF(
        ISNUMBER(
            VLOOKUP(
                INDEX('Shared parameters'!$A$2:$A$200,
                       MATCH($A111,'Shared parameters'!$B$2:$B$200,0)
                ),
                'Data Entry'!$A$2:$B$200,
                2,
                FALSE
            )
        ),
        VLOOKUP(
            INDEX('Shared parameters'!$A$2:$A$200,
                   MATCH($A111,'Shared parameters'!$B$2:$B$200,0)
            ),
            'Data Entry'!$A$2:$B$200,
            2,
            FALSE
        ),
        """" &amp;
        VLOOKUP(
            INDEX('Shared parameters'!$A$2:$A$200,
                   MATCH($A111,'Shared parameters'!$B$2:$B$200,0)
            ),
            'Data Entry'!$A$2:$B$200,
            2,
            FALSE
        ) &amp;
        """"
    ),
"")</f>
        <v>0.39976</v>
      </c>
    </row>
    <row r="112" spans="1:2" x14ac:dyDescent="0.3">
      <c r="A112" s="53" t="str">
        <f>INDEX(SharedParams[Name],ROW(B111))</f>
        <v>DPP_COD_Replacement_EUR</v>
      </c>
      <c r="B112" s="53">
        <f>IFERROR(
    IF(
        ISNUMBER(
            VLOOKUP(
                INDEX('Shared parameters'!$A$2:$A$200,
                       MATCH($A112,'Shared parameters'!$B$2:$B$200,0)
                ),
                'Data Entry'!$A$2:$B$200,
                2,
                FALSE
            )
        ),
        VLOOKUP(
            INDEX('Shared parameters'!$A$2:$A$200,
                   MATCH($A112,'Shared parameters'!$B$2:$B$200,0)
            ),
            'Data Entry'!$A$2:$B$200,
            2,
            FALSE
        ),
        """" &amp;
        VLOOKUP(
            INDEX('Shared parameters'!$A$2:$A$200,
                   MATCH($A112,'Shared parameters'!$B$2:$B$200,0)
            ),
            'Data Entry'!$A$2:$B$200,
            2,
            FALSE
        ) &amp;
        """"
    ),
"")</f>
        <v>3.4002399999999997</v>
      </c>
    </row>
    <row r="113" spans="1:2" x14ac:dyDescent="0.3">
      <c r="A113" s="53" t="str">
        <f>INDEX(SharedParams[Name],ROW(B112))</f>
        <v>DPP_COD_NPV_EUR</v>
      </c>
      <c r="B113" s="53">
        <f>IFERROR(
    IF(
        ISNUMBER(
            VLOOKUP(
                INDEX('Shared parameters'!$A$2:$A$200,
                       MATCH($A113,'Shared parameters'!$B$2:$B$200,0)
                ),
                'Data Entry'!$A$2:$B$200,
                2,
                FALSE
            )
        ),
        VLOOKUP(
            INDEX('Shared parameters'!$A$2:$A$200,
                   MATCH($A113,'Shared parameters'!$B$2:$B$200,0)
            ),
            'Data Entry'!$A$2:$B$200,
            2,
            FALSE
        ),
        """" &amp;
        VLOOKUP(
            INDEX('Shared parameters'!$A$2:$A$200,
                   MATCH($A113,'Shared parameters'!$B$2:$B$200,0)
            ),
            'Data Entry'!$A$2:$B$200,
            2,
            FALSE
        ) &amp;
        """"
    ),
"")</f>
        <v>35.570751840116472</v>
      </c>
    </row>
    <row r="114" spans="1:2" x14ac:dyDescent="0.3">
      <c r="A114" s="53" t="str">
        <f>INDEX(SharedParams[Name],ROW(B113))</f>
        <v>DPP_COD_NS_EUR</v>
      </c>
      <c r="B114" s="53">
        <f>IFERROR(
    IF(
        ISNUMBER(
            VLOOKUP(
                INDEX('Shared parameters'!$A$2:$A$200,
                       MATCH($A114,'Shared parameters'!$B$2:$B$200,0)
                ),
                'Data Entry'!$A$2:$B$200,
                2,
                FALSE
            )
        ),
        VLOOKUP(
            INDEX('Shared parameters'!$A$2:$A$200,
                   MATCH($A114,'Shared parameters'!$B$2:$B$200,0)
            ),
            'Data Entry'!$A$2:$B$200,
            2,
            FALSE
        ),
        """" &amp;
        VLOOKUP(
            INDEX('Shared parameters'!$A$2:$A$200,
                   MATCH($A114,'Shared parameters'!$B$2:$B$200,0)
            ),
            'Data Entry'!$A$2:$B$200,
            2,
            FALSE
        ) &amp;
        """"
    ),
"")</f>
        <v>232.208</v>
      </c>
    </row>
    <row r="115" spans="1:2" x14ac:dyDescent="0.3">
      <c r="A115" s="53" t="str">
        <f>INDEX(SharedParams[Name],ROW(B114))</f>
        <v>DPP_COD_PBP</v>
      </c>
      <c r="B115" s="53">
        <f>IFERROR(
    IF(
        ISNUMBER(
            VLOOKUP(
                INDEX('Shared parameters'!$A$2:$A$200,
                       MATCH($A115,'Shared parameters'!$B$2:$B$200,0)
                ),
                'Data Entry'!$A$2:$B$200,
                2,
                FALSE
            )
        ),
        VLOOKUP(
            INDEX('Shared parameters'!$A$2:$A$200,
                   MATCH($A115,'Shared parameters'!$B$2:$B$200,0)
            ),
            'Data Entry'!$A$2:$B$200,
            2,
            FALSE
        ),
        """" &amp;
        VLOOKUP(
            INDEX('Shared parameters'!$A$2:$A$200,
                   MATCH($A115,'Shared parameters'!$B$2:$B$200,0)
            ),
            'Data Entry'!$A$2:$B$200,
            2,
            FALSE
        ) &amp;
        """"
    ),
"")</f>
        <v>12</v>
      </c>
    </row>
    <row r="116" spans="1:2" x14ac:dyDescent="0.3">
      <c r="A116" s="53" t="str">
        <f>INDEX(SharedParams[Name],ROW(B115))</f>
        <v>DPP_COD_BenefitCost</v>
      </c>
      <c r="B116" s="53">
        <f>IFERROR(
    IF(
        ISNUMBER(
            VLOOKUP(
                INDEX('Shared parameters'!$A$2:$A$200,
                       MATCH($A116,'Shared parameters'!$B$2:$B$200,0)
                ),
                'Data Entry'!$A$2:$B$200,
                2,
                FALSE
            )
        ),
        VLOOKUP(
            INDEX('Shared parameters'!$A$2:$A$200,
                   MATCH($A116,'Shared parameters'!$B$2:$B$200,0)
            ),
            'Data Entry'!$A$2:$B$200,
            2,
            FALSE
        ),
        """" &amp;
        VLOOKUP(
            INDEX('Shared parameters'!$A$2:$A$200,
                   MATCH($A116,'Shared parameters'!$B$2:$B$200,0)
            ),
            'Data Entry'!$A$2:$B$200,
            2,
            FALSE
        ) &amp;
        """"
    ),
"")</f>
        <v>2.1330440709330962</v>
      </c>
    </row>
    <row r="117" spans="1:2" x14ac:dyDescent="0.3">
      <c r="A117" s="53" t="str">
        <f>INDEX(SharedParams[Name],ROW(B116))</f>
        <v>DPP_COD_LCC_EUR</v>
      </c>
      <c r="B117" s="53">
        <f>IFERROR(
    IF(
        ISNUMBER(
            VLOOKUP(
                INDEX('Shared parameters'!$A$2:$A$200,
                       MATCH($A117,'Shared parameters'!$B$2:$B$200,0)
                ),
                'Data Entry'!$A$2:$B$200,
                2,
                FALSE
            )
        ),
        VLOOKUP(
            INDEX('Shared parameters'!$A$2:$A$200,
                   MATCH($A117,'Shared parameters'!$B$2:$B$200,0)
            ),
            'Data Entry'!$A$2:$B$200,
            2,
            FALSE
        ),
        """" &amp;
        VLOOKUP(
            INDEX('Shared parameters'!$A$2:$A$200,
                   MATCH($A117,'Shared parameters'!$B$2:$B$200,0)
            ),
            'Data Entry'!$A$2:$B$200,
            2,
            FALSE
        ) &amp;
        """"
    ),
"")</f>
        <v>47.376342833923765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7"/>
  <sheetViews>
    <sheetView zoomScale="200" zoomScaleNormal="200" workbookViewId="0">
      <selection activeCell="C2" sqref="C2"/>
    </sheetView>
  </sheetViews>
  <sheetFormatPr baseColWidth="10" defaultRowHeight="14.4" x14ac:dyDescent="0.3"/>
  <cols>
    <col min="1" max="1" width="34.77734375" style="53" customWidth="1"/>
    <col min="2" max="2" width="23.109375" style="53" customWidth="1"/>
    <col min="3" max="3" width="11.5546875" style="53"/>
    <col min="4" max="4" width="30.5546875" style="55" customWidth="1"/>
    <col min="5" max="16384" width="11.5546875" style="53"/>
  </cols>
  <sheetData>
    <row r="1" spans="1:4" x14ac:dyDescent="0.3">
      <c r="A1" s="148" t="s">
        <v>778</v>
      </c>
      <c r="B1" s="148" t="s">
        <v>781</v>
      </c>
      <c r="C1" s="148" t="s">
        <v>780</v>
      </c>
      <c r="D1" s="149" t="s">
        <v>783</v>
      </c>
    </row>
    <row r="2" spans="1:4" x14ac:dyDescent="0.3">
      <c r="A2" s="53" t="str">
        <f>INDEX(SharedParams[Name],ROW(B1))</f>
        <v>DPP_AUT_Name</v>
      </c>
      <c r="B2" t="str">
        <f>IFERROR(
   VLOOKUP(
      INDEX('Manual workflow'!$B$2:$B$200,
             MATCH($A2,'Manual workflow'!$A$2:$A$200,0)
      ),
      'Built In Parameter groups'!$A$2:$C$200,
      3,
      FALSE
   ),
"")</f>
        <v>PG_IDENTITY_DATA</v>
      </c>
      <c r="C2" s="53" t="str">
        <f>IFERROR(IF(VLOOKUP(INDEX('Shared parameters'!$A$2:$A$200,MATCH($A2,'Shared parameters'!$B$2:$B$200,0)),'Parameter Categories'!$B$2:$G$200,6,FALSE)="x","No",IF(VLOOKUP(INDEX('Shared parameters'!$A$2:$A$200,MATCH($A2,'Shared parameters'!$B$2:$B$200,0)),'Parameter Categories'!$B$2:$G$200,5,FALSE)="x","Yes","")),"")</f>
        <v>No</v>
      </c>
      <c r="D2" s="55" t="str">
        <f>IFERROR(
    IF(
        ISNUMBER(
            VLOOKUP(
                INDEX('Shared parameters'!$A$2:$A$200,
                       MATCH($A2,'Shared parameters'!$B$2:$B$200,0)
                ),
                'Data Entry'!$A$2:$B$200,
                2,
                FALSE
            )
        ),
        VLOOKUP(
            INDEX('Shared parameters'!$A$2:$A$200,
                   MATCH($A2,'Shared parameters'!$B$2:$B$200,0)
            ),
            'Data Entry'!$A$2:$B$200,
            2,
            FALSE
        ),
        """" &amp;
        VLOOKUP(
            INDEX('Shared parameters'!$A$2:$A$200,
                   MATCH($A2,'Shared parameters'!$B$2:$B$200,0)
            ),
            'Data Entry'!$A$2:$B$200,
            2,
            FALSE
        ) &amp;
        """"
    ),
"")</f>
        <v>"Hempstone"</v>
      </c>
    </row>
    <row r="3" spans="1:4" x14ac:dyDescent="0.3">
      <c r="A3" s="53" t="str">
        <f>INDEX(SharedParams[Name],ROW(B2))</f>
        <v>DPP_AUT_ID</v>
      </c>
      <c r="B3" s="53" t="str">
        <f>IFERROR(
   VLOOKUP(
      INDEX('Manual workflow'!$B$2:$B$200,
             MATCH($A3,'Manual workflow'!$A$2:$A$200,0)
      ),
      'Built In Parameter groups'!$A$2:$C$200,
      3,
      FALSE
   ),
"")</f>
        <v>PG_IDENTITY_DATA</v>
      </c>
      <c r="C3" s="53" t="str">
        <f>IFERROR(
   IF(
      VLOOKUP(
         INDEX('Shared parameters'!$A$2:$A$200,
                MATCH($A3,'Shared parameters'!$B$2:$B$200,0)
         ),
         'Parameter Categories'!$B$2:$G$200,
         6,
         FALSE
      )="x",
      "No",
      IF(
         VLOOKUP(
            INDEX('Shared parameters'!$A$2:$A$200,
                   MATCH($A3,'Shared parameters'!$B$2:$B$200,0)
            ),
            'Parameter Categories'!$B$2:$G$200,
            5,
            FALSE
         )="x",
         "Yes",
         ""
      )
   ),
"")</f>
        <v>No</v>
      </c>
      <c r="D3" s="55" t="str">
        <f>IFERROR(
    IF(
        ISNUMBER(
            VLOOKUP(
                INDEX('Shared parameters'!$A$2:$A$200,
                       MATCH($A3,'Shared parameters'!$B$2:$B$200,0)
                ),
                'Data Entry'!$A$2:$B$200,
                2,
                FALSE
            )
        ),
        VLOOKUP(
            INDEX('Shared parameters'!$A$2:$A$200,
                   MATCH($A3,'Shared parameters'!$B$2:$B$200,0)
            ),
            'Data Entry'!$A$2:$B$200,
            2,
            FALSE
        ),
        """" &amp;
        VLOOKUP(
            INDEX('Shared parameters'!$A$2:$A$200,
                   MATCH($A3,'Shared parameters'!$B$2:$B$200,0)
            ),
            'Data Entry'!$A$2:$B$200,
            2,
            FALSE
        ) &amp;
        """"
    ),
"")</f>
        <v>"Z-17.25-1299"</v>
      </c>
    </row>
    <row r="4" spans="1:4" ht="43.2" x14ac:dyDescent="0.3">
      <c r="A4" s="53" t="str">
        <f>INDEX(SharedParams[Name],ROW(B3))</f>
        <v>DPP_AUT_Image</v>
      </c>
      <c r="B4" s="53" t="str">
        <f>IFERROR(
   VLOOKUP(
      INDEX('Manual workflow'!$B$2:$B$200,
             MATCH($A4,'Manual workflow'!$A$2:$A$200,0)
      ),
      'Built In Parameter groups'!$A$2:$C$200,
      3,
      FALSE
   ),
"")</f>
        <v>PG_IDENTITY_DATA</v>
      </c>
      <c r="C4" s="53" t="str">
        <f>IFERROR(
   IF(
      VLOOKUP(
         INDEX('Shared parameters'!$A$2:$A$200,
                MATCH($A4,'Shared parameters'!$B$2:$B$200,0)
         ),
         'Parameter Categories'!$B$2:$G$200,
         6,
         FALSE
      )="x",
      "No",
      IF(
         VLOOKUP(
            INDEX('Shared parameters'!$A$2:$A$200,
                   MATCH($A4,'Shared parameters'!$B$2:$B$200,0)
            ),
            'Parameter Categories'!$B$2:$G$200,
            5,
            FALSE
         )="x",
         "Yes",
         ""
      )
   ),
"")</f>
        <v>Yes</v>
      </c>
      <c r="D4" s="55" t="str">
        <f>IFERROR(
    IF(
        ISNUMBER(
            VLOOKUP(
                INDEX('Shared parameters'!$A$2:$A$200,
                       MATCH($A4,'Shared parameters'!$B$2:$B$200,0)
                ),
                'Data Entry'!$A$2:$B$200,
                2,
                FALSE
            )
        ),
        VLOOKUP(
            INDEX('Shared parameters'!$A$2:$A$200,
                   MATCH($A4,'Shared parameters'!$B$2:$B$200,0)
            ),
            'Data Entry'!$A$2:$B$200,
            2,
            FALSE
        ),
        """" &amp;
        VLOOKUP(
            INDEX('Shared parameters'!$A$2:$A$200,
                   MATCH($A4,'Shared parameters'!$B$2:$B$200,0)
            ),
            'Data Entry'!$A$2:$B$200,
            2,
            FALSE
        ) &amp;
        """"
    ),
"")</f>
        <v>"..\..\werner schönthaler\hanfsteine Sch├Ânthaler Kopie.png"</v>
      </c>
    </row>
    <row r="5" spans="1:4" x14ac:dyDescent="0.3">
      <c r="A5" s="53" t="str">
        <f>INDEX(SharedParams[Name],ROW(B4))</f>
        <v>DPP_AUT_GUID</v>
      </c>
      <c r="B5" s="53" t="str">
        <f>IFERROR(
   VLOOKUP(
      INDEX('Manual workflow'!$B$2:$B$200,
             MATCH($A5,'Manual workflow'!$A$2:$A$200,0)
      ),
      'Built In Parameter groups'!$A$2:$C$200,
      3,
      FALSE
   ),
"")</f>
        <v>PG_IDENTITY_DATA</v>
      </c>
      <c r="C5" s="53" t="str">
        <f>IFERROR(
   IF(
      VLOOKUP(
         INDEX('Shared parameters'!$A$2:$A$200,
                MATCH($A5,'Shared parameters'!$B$2:$B$200,0)
         ),
         'Parameter Categories'!$B$2:$G$200,
         6,
         FALSE
      )="x",
      "No",
      IF(
         VLOOKUP(
            INDEX('Shared parameters'!$A$2:$A$200,
                   MATCH($A5,'Shared parameters'!$B$2:$B$200,0)
            ),
            'Parameter Categories'!$B$2:$G$200,
            5,
            FALSE
         )="x",
         "Yes",
         ""
      )
   ),
"")</f>
        <v>No</v>
      </c>
      <c r="D5" s="55" t="str">
        <f>IFERROR(
    IF(
        ISNUMBER(
            VLOOKUP(
                INDEX('Shared parameters'!$A$2:$A$200,
                       MATCH($A5,'Shared parameters'!$B$2:$B$200,0)
                ),
                'Data Entry'!$A$2:$B$200,
                2,
                FALSE
            )
        ),
        VLOOKUP(
            INDEX('Shared parameters'!$A$2:$A$200,
                   MATCH($A5,'Shared parameters'!$B$2:$B$200,0)
            ),
            'Data Entry'!$A$2:$B$200,
            2,
            FALSE
        ),
        """" &amp;
        VLOOKUP(
            INDEX('Shared parameters'!$A$2:$A$200,
                   MATCH($A5,'Shared parameters'!$B$2:$B$200,0)
            ),
            'Data Entry'!$A$2:$B$200,
            2,
            FALSE
        ) &amp;
        """"
    ),
"")</f>
        <v>""</v>
      </c>
    </row>
    <row r="6" spans="1:4" x14ac:dyDescent="0.3">
      <c r="A6" s="53" t="str">
        <f>INDEX(SharedParams[Name],ROW(B5))</f>
        <v>DPP_AUT_MaterialType</v>
      </c>
      <c r="B6" s="53" t="str">
        <f>IFERROR(
   VLOOKUP(
      INDEX('Manual workflow'!$B$2:$B$200,
             MATCH($A6,'Manual workflow'!$A$2:$A$200,0)
      ),
      'Built In Parameter groups'!$A$2:$C$200,
      3,
      FALSE
   ),
"")</f>
        <v>PG_MATERIALS</v>
      </c>
      <c r="C6" s="53" t="str">
        <f>IFERROR(
   IF(
      VLOOKUP(
         INDEX('Shared parameters'!$A$2:$A$200,
                MATCH($A6,'Shared parameters'!$B$2:$B$200,0)
         ),
         'Parameter Categories'!$B$2:$G$200,
         6,
         FALSE
      )="x",
      "No",
      IF(
         VLOOKUP(
            INDEX('Shared parameters'!$A$2:$A$200,
                   MATCH($A6,'Shared parameters'!$B$2:$B$200,0)
            ),
            'Parameter Categories'!$B$2:$G$200,
            5,
            FALSE
         )="x",
         "Yes",
         ""
      )
   ),
"")</f>
        <v>No</v>
      </c>
      <c r="D6" s="55" t="str">
        <f>IFERROR(
    IF(
        ISNUMBER(
            VLOOKUP(
                INDEX('Shared parameters'!$A$2:$A$200,
                       MATCH($A6,'Shared parameters'!$B$2:$B$200,0)
                ),
                'Data Entry'!$A$2:$B$200,
                2,
                FALSE
            )
        ),
        VLOOKUP(
            INDEX('Shared parameters'!$A$2:$A$200,
                   MATCH($A6,'Shared parameters'!$B$2:$B$200,0)
            ),
            'Data Entry'!$A$2:$B$200,
            2,
            FALSE
        ),
        """" &amp;
        VLOOKUP(
            INDEX('Shared parameters'!$A$2:$A$200,
                   MATCH($A6,'Shared parameters'!$B$2:$B$200,0)
            ),
            'Data Entry'!$A$2:$B$200,
            2,
            FALSE
        ) &amp;
        """"
    ),
"")</f>
        <v>"Type II"</v>
      </c>
    </row>
    <row r="7" spans="1:4" x14ac:dyDescent="0.3">
      <c r="A7" s="53" t="str">
        <f>INDEX(SharedParams[Name],ROW(B6))</f>
        <v>DPP_AUT_Manufacturer</v>
      </c>
      <c r="B7" s="53" t="str">
        <f>IFERROR(
   VLOOKUP(
      INDEX('Manual workflow'!$B$2:$B$200,
             MATCH($A7,'Manual workflow'!$A$2:$A$200,0)
      ),
      'Built In Parameter groups'!$A$2:$C$200,
      3,
      FALSE
   ),
"")</f>
        <v>PG_IDENTITY_DATA</v>
      </c>
      <c r="C7" s="53" t="str">
        <f>IFERROR(
   IF(
      VLOOKUP(
         INDEX('Shared parameters'!$A$2:$A$200,
                MATCH($A7,'Shared parameters'!$B$2:$B$200,0)
         ),
         'Parameter Categories'!$B$2:$G$200,
         6,
         FALSE
      )="x",
      "No",
      IF(
         VLOOKUP(
            INDEX('Shared parameters'!$A$2:$A$200,
                   MATCH($A7,'Shared parameters'!$B$2:$B$200,0)
            ),
            'Parameter Categories'!$B$2:$G$200,
            5,
            FALSE
         )="x",
         "Yes",
         ""
      )
   ),
"")</f>
        <v>No</v>
      </c>
      <c r="D7" s="55" t="str">
        <f>IFERROR(
    IF(
        ISNUMBER(
            VLOOKUP(
                INDEX('Shared parameters'!$A$2:$A$200,
                       MATCH($A7,'Shared parameters'!$B$2:$B$200,0)
                ),
                'Data Entry'!$A$2:$B$200,
                2,
                FALSE
            )
        ),
        VLOOKUP(
            INDEX('Shared parameters'!$A$2:$A$200,
                   MATCH($A7,'Shared parameters'!$B$2:$B$200,0)
            ),
            'Data Entry'!$A$2:$B$200,
            2,
            FALSE
        ),
        """" &amp;
        VLOOKUP(
            INDEX('Shared parameters'!$A$2:$A$200,
                   MATCH($A7,'Shared parameters'!$B$2:$B$200,0)
            ),
            'Data Entry'!$A$2:$B$200,
            2,
            FALSE
        ) &amp;
        """"
    ),
"")</f>
        <v>"Schönthaler Bausteinwerk GmbH"</v>
      </c>
    </row>
    <row r="8" spans="1:4" x14ac:dyDescent="0.3">
      <c r="A8" s="53" t="str">
        <f>INDEX(SharedParams[Name],ROW(B7))</f>
        <v>DPP_AUT_Manufacturer_URL</v>
      </c>
      <c r="B8" s="53" t="str">
        <f>IFERROR(
   VLOOKUP(
      INDEX('Manual workflow'!$B$2:$B$200,
             MATCH($A8,'Manual workflow'!$A$2:$A$200,0)
      ),
      'Built In Parameter groups'!$A$2:$C$200,
      3,
      FALSE
   ),
"")</f>
        <v>PG_IDENTITY_DATA</v>
      </c>
      <c r="C8" s="53" t="str">
        <f>IFERROR(
   IF(
      VLOOKUP(
         INDEX('Shared parameters'!$A$2:$A$200,
                MATCH($A8,'Shared parameters'!$B$2:$B$200,0)
         ),
         'Parameter Categories'!$B$2:$G$200,
         6,
         FALSE
      )="x",
      "No",
      IF(
         VLOOKUP(
            INDEX('Shared parameters'!$A$2:$A$200,
                   MATCH($A8,'Shared parameters'!$B$2:$B$200,0)
            ),
            'Parameter Categories'!$B$2:$G$200,
            5,
            FALSE
         )="x",
         "Yes",
         ""
      )
   ),
"")</f>
        <v>No</v>
      </c>
      <c r="D8" s="55" t="str">
        <f>IFERROR(
    IF(
        ISNUMBER(
            VLOOKUP(
                INDEX('Shared parameters'!$A$2:$A$200,
                       MATCH($A8,'Shared parameters'!$B$2:$B$200,0)
                ),
                'Data Entry'!$A$2:$B$200,
                2,
                FALSE
            )
        ),
        VLOOKUP(
            INDEX('Shared parameters'!$A$2:$A$200,
                   MATCH($A8,'Shared parameters'!$B$2:$B$200,0)
            ),
            'Data Entry'!$A$2:$B$200,
            2,
            FALSE
        ),
        """" &amp;
        VLOOKUP(
            INDEX('Shared parameters'!$A$2:$A$200,
                   MATCH($A8,'Shared parameters'!$B$2:$B$200,0)
            ),
            'Data Entry'!$A$2:$B$200,
            2,
            FALSE
        ) &amp;
        """"
    ),
"")</f>
        <v>"https://www.hanfstein.eu/"</v>
      </c>
    </row>
    <row r="9" spans="1:4" x14ac:dyDescent="0.3">
      <c r="A9" s="53" t="str">
        <f>INDEX(SharedParams[Name],ROW(B8))</f>
        <v>DPP_AUT_Distribuitor</v>
      </c>
      <c r="B9" s="53" t="str">
        <f>IFERROR(
   VLOOKUP(
      INDEX('Manual workflow'!$B$2:$B$200,
             MATCH($A9,'Manual workflow'!$A$2:$A$200,0)
      ),
      'Built In Parameter groups'!$A$2:$C$200,
      3,
      FALSE
   ),
"")</f>
        <v>PG_IDENTITY_DATA</v>
      </c>
      <c r="C9" s="53" t="str">
        <f>IFERROR(
   IF(
      VLOOKUP(
         INDEX('Shared parameters'!$A$2:$A$200,
                MATCH($A9,'Shared parameters'!$B$2:$B$200,0)
         ),
         'Parameter Categories'!$B$2:$G$200,
         6,
         FALSE
      )="x",
      "No",
      IF(
         VLOOKUP(
            INDEX('Shared parameters'!$A$2:$A$200,
                   MATCH($A9,'Shared parameters'!$B$2:$B$200,0)
            ),
            'Parameter Categories'!$B$2:$G$200,
            5,
            FALSE
         )="x",
         "Yes",
         ""
      )
   ),
"")</f>
        <v>Yes</v>
      </c>
      <c r="D9" s="55" t="str">
        <f>IFERROR(
    IF(
        ISNUMBER(
            VLOOKUP(
                INDEX('Shared parameters'!$A$2:$A$200,
                       MATCH($A9,'Shared parameters'!$B$2:$B$200,0)
                ),
                'Data Entry'!$A$2:$B$200,
                2,
                FALSE
            )
        ),
        VLOOKUP(
            INDEX('Shared parameters'!$A$2:$A$200,
                   MATCH($A9,'Shared parameters'!$B$2:$B$200,0)
            ),
            'Data Entry'!$A$2:$B$200,
            2,
            FALSE
        ),
        """" &amp;
        VLOOKUP(
            INDEX('Shared parameters'!$A$2:$A$200,
                   MATCH($A9,'Shared parameters'!$B$2:$B$200,0)
            ),
            'Data Entry'!$A$2:$B$200,
            2,
            FALSE
        ) &amp;
        """"
    ),
"")</f>
        <v>"NA"</v>
      </c>
    </row>
    <row r="10" spans="1:4" x14ac:dyDescent="0.3">
      <c r="A10" s="53" t="str">
        <f>INDEX(SharedParams[Name],ROW(B9))</f>
        <v>DPP_AUT_Distribuitor_URL</v>
      </c>
      <c r="B10" s="53" t="str">
        <f>IFERROR(
   VLOOKUP(
      INDEX('Manual workflow'!$B$2:$B$200,
             MATCH($A10,'Manual workflow'!$A$2:$A$200,0)
      ),
      'Built In Parameter groups'!$A$2:$C$200,
      3,
      FALSE
   ),
"")</f>
        <v>PG_IDENTITY_DATA</v>
      </c>
      <c r="C10" s="53" t="str">
        <f>IFERROR(
   IF(
      VLOOKUP(
         INDEX('Shared parameters'!$A$2:$A$200,
                MATCH($A10,'Shared parameters'!$B$2:$B$200,0)
         ),
         'Parameter Categories'!$B$2:$G$200,
         6,
         FALSE
      )="x",
      "No",
      IF(
         VLOOKUP(
            INDEX('Shared parameters'!$A$2:$A$200,
                   MATCH($A10,'Shared parameters'!$B$2:$B$200,0)
            ),
            'Parameter Categories'!$B$2:$G$200,
            5,
            FALSE
         )="x",
         "Yes",
         ""
      )
   ),
"")</f>
        <v>Yes</v>
      </c>
      <c r="D10" s="55" t="str">
        <f>IFERROR(
    IF(
        ISNUMBER(
            VLOOKUP(
                INDEX('Shared parameters'!$A$2:$A$200,
                       MATCH($A10,'Shared parameters'!$B$2:$B$200,0)
                ),
                'Data Entry'!$A$2:$B$200,
                2,
                FALSE
            )
        ),
        VLOOKUP(
            INDEX('Shared parameters'!$A$2:$A$200,
                   MATCH($A10,'Shared parameters'!$B$2:$B$200,0)
            ),
            'Data Entry'!$A$2:$B$200,
            2,
            FALSE
        ),
        """" &amp;
        VLOOKUP(
            INDEX('Shared parameters'!$A$2:$A$200,
                   MATCH($A10,'Shared parameters'!$B$2:$B$200,0)
            ),
            'Data Entry'!$A$2:$B$200,
            2,
            FALSE
        ) &amp;
        """"
    ),
"")</f>
        <v>"NA"</v>
      </c>
    </row>
    <row r="11" spans="1:4" x14ac:dyDescent="0.3">
      <c r="A11" s="53" t="str">
        <f>INDEX(SharedParams[Name],ROW(B10))</f>
        <v>DPP_AUR_Supplier</v>
      </c>
      <c r="B11" s="53" t="str">
        <f>IFERROR(
   VLOOKUP(
      INDEX('Manual workflow'!$B$2:$B$200,
             MATCH($A11,'Manual workflow'!$A$2:$A$200,0)
      ),
      'Built In Parameter groups'!$A$2:$C$200,
      3,
      FALSE
   ),
"")</f>
        <v>PG_IDENTITY_DATA</v>
      </c>
      <c r="C11" s="53" t="str">
        <f>IFERROR(
   IF(
      VLOOKUP(
         INDEX('Shared parameters'!$A$2:$A$200,
                MATCH($A11,'Shared parameters'!$B$2:$B$200,0)
         ),
         'Parameter Categories'!$B$2:$G$200,
         6,
         FALSE
      )="x",
      "No",
      IF(
         VLOOKUP(
            INDEX('Shared parameters'!$A$2:$A$200,
                   MATCH($A11,'Shared parameters'!$B$2:$B$200,0)
            ),
            'Parameter Categories'!$B$2:$G$200,
            5,
            FALSE
         )="x",
         "Yes",
         ""
      )
   ),
"")</f>
        <v>Yes</v>
      </c>
      <c r="D11" s="55" t="str">
        <f>IFERROR(
    IF(
        ISNUMBER(
            VLOOKUP(
                INDEX('Shared parameters'!$A$2:$A$200,
                       MATCH($A11,'Shared parameters'!$B$2:$B$200,0)
                ),
                'Data Entry'!$A$2:$B$200,
                2,
                FALSE
            )
        ),
        VLOOKUP(
            INDEX('Shared parameters'!$A$2:$A$200,
                   MATCH($A11,'Shared parameters'!$B$2:$B$200,0)
            ),
            'Data Entry'!$A$2:$B$200,
            2,
            FALSE
        ),
        """" &amp;
        VLOOKUP(
            INDEX('Shared parameters'!$A$2:$A$200,
                   MATCH($A11,'Shared parameters'!$B$2:$B$200,0)
            ),
            'Data Entry'!$A$2:$B$200,
            2,
            FALSE
        ) &amp;
        """"
    ),
"")</f>
        <v>"NA"</v>
      </c>
    </row>
    <row r="12" spans="1:4" x14ac:dyDescent="0.3">
      <c r="A12" s="53" t="str">
        <f>INDEX(SharedParams[Name],ROW(B11))</f>
        <v>DPP_AUR_Supplier_URL</v>
      </c>
      <c r="B12" s="53" t="str">
        <f>IFERROR(
   VLOOKUP(
      INDEX('Manual workflow'!$B$2:$B$200,
             MATCH($A12,'Manual workflow'!$A$2:$A$200,0)
      ),
      'Built In Parameter groups'!$A$2:$C$200,
      3,
      FALSE
   ),
"")</f>
        <v>PG_IDENTITY_DATA</v>
      </c>
      <c r="C12" s="53" t="str">
        <f>IFERROR(
   IF(
      VLOOKUP(
         INDEX('Shared parameters'!$A$2:$A$200,
                MATCH($A12,'Shared parameters'!$B$2:$B$200,0)
         ),
         'Parameter Categories'!$B$2:$G$200,
         6,
         FALSE
      )="x",
      "No",
      IF(
         VLOOKUP(
            INDEX('Shared parameters'!$A$2:$A$200,
                   MATCH($A12,'Shared parameters'!$B$2:$B$200,0)
            ),
            'Parameter Categories'!$B$2:$G$200,
            5,
            FALSE
         )="x",
         "Yes",
         ""
      )
   ),
"")</f>
        <v>Yes</v>
      </c>
      <c r="D12" s="55" t="str">
        <f>IFERROR(
    IF(
        ISNUMBER(
            VLOOKUP(
                INDEX('Shared parameters'!$A$2:$A$200,
                       MATCH($A12,'Shared parameters'!$B$2:$B$200,0)
                ),
                'Data Entry'!$A$2:$B$200,
                2,
                FALSE
            )
        ),
        VLOOKUP(
            INDEX('Shared parameters'!$A$2:$A$200,
                   MATCH($A12,'Shared parameters'!$B$2:$B$200,0)
            ),
            'Data Entry'!$A$2:$B$200,
            2,
            FALSE
        ),
        """" &amp;
        VLOOKUP(
            INDEX('Shared parameters'!$A$2:$A$200,
                   MATCH($A12,'Shared parameters'!$B$2:$B$200,0)
            ),
            'Data Entry'!$A$2:$B$200,
            2,
            FALSE
        ) &amp;
        """"
    ),
"")</f>
        <v>"NA"</v>
      </c>
    </row>
    <row r="13" spans="1:4" x14ac:dyDescent="0.3">
      <c r="A13" s="53" t="str">
        <f>INDEX(SharedParams[Name],ROW(B12))</f>
        <v>DPP_AUT_TransRoute</v>
      </c>
      <c r="B13" s="53" t="str">
        <f>IFERROR(
   VLOOKUP(
      INDEX('Manual workflow'!$B$2:$B$200,
             MATCH($A13,'Manual workflow'!$A$2:$A$200,0)
      ),
      'Built In Parameter groups'!$A$2:$C$200,
      3,
      FALSE
   ),
"")</f>
        <v>PG_IDENTITY_DATA</v>
      </c>
      <c r="C13" s="53" t="str">
        <f>IFERROR(
   IF(
      VLOOKUP(
         INDEX('Shared parameters'!$A$2:$A$200,
                MATCH($A13,'Shared parameters'!$B$2:$B$200,0)
         ),
         'Parameter Categories'!$B$2:$G$200,
         6,
         FALSE
      )="x",
      "No",
      IF(
         VLOOKUP(
            INDEX('Shared parameters'!$A$2:$A$200,
                   MATCH($A13,'Shared parameters'!$B$2:$B$200,0)
            ),
            'Parameter Categories'!$B$2:$G$200,
            5,
            FALSE
         )="x",
         "Yes",
         ""
      )
   ),
"")</f>
        <v>Yes</v>
      </c>
      <c r="D13" s="55" t="str">
        <f>IFERROR(
    IF(
        ISNUMBER(
            VLOOKUP(
                INDEX('Shared parameters'!$A$2:$A$200,
                       MATCH($A13,'Shared parameters'!$B$2:$B$200,0)
                ),
                'Data Entry'!$A$2:$B$200,
                2,
                FALSE
            )
        ),
        VLOOKUP(
            INDEX('Shared parameters'!$A$2:$A$200,
                   MATCH($A13,'Shared parameters'!$B$2:$B$200,0)
            ),
            'Data Entry'!$A$2:$B$200,
            2,
            FALSE
        ),
        """" &amp;
        VLOOKUP(
            INDEX('Shared parameters'!$A$2:$A$200,
                   MATCH($A13,'Shared parameters'!$B$2:$B$200,0)
            ),
            'Data Entry'!$A$2:$B$200,
            2,
            FALSE
        ) &amp;
        """"
    ),
"")</f>
        <v>""</v>
      </c>
    </row>
    <row r="14" spans="1:4" ht="28.8" x14ac:dyDescent="0.3">
      <c r="A14" s="53" t="str">
        <f>INDEX(SharedParams[Name],ROW(B13))</f>
        <v>DPP_AUT_Traceability</v>
      </c>
      <c r="B14" s="53" t="str">
        <f>IFERROR(
   VLOOKUP(
      INDEX('Manual workflow'!$B$2:$B$200,
             MATCH($A14,'Manual workflow'!$A$2:$A$200,0)
      ),
      'Built In Parameter groups'!$A$2:$C$200,
      3,
      FALSE
   ),
"")</f>
        <v>PG_IDENTITY_DATA</v>
      </c>
      <c r="C14" s="53" t="str">
        <f>IFERROR(
   IF(
      VLOOKUP(
         INDEX('Shared parameters'!$A$2:$A$200,
                MATCH($A14,'Shared parameters'!$B$2:$B$200,0)
         ),
         'Parameter Categories'!$B$2:$G$200,
         6,
         FALSE
      )="x",
      "No",
      IF(
         VLOOKUP(
            INDEX('Shared parameters'!$A$2:$A$200,
                   MATCH($A14,'Shared parameters'!$B$2:$B$200,0)
            ),
            'Parameter Categories'!$B$2:$G$200,
            5,
            FALSE
         )="x",
         "Yes",
         ""
      )
   ),
"")</f>
        <v>No</v>
      </c>
      <c r="D14" s="55" t="str">
        <f>IFERROR(
    IF(
        ISNUMBER(
            VLOOKUP(
                INDEX('Shared parameters'!$A$2:$A$200,
                       MATCH($A14,'Shared parameters'!$B$2:$B$200,0)
                ),
                'Data Entry'!$A$2:$B$200,
                2,
                FALSE
            )
        ),
        VLOOKUP(
            INDEX('Shared parameters'!$A$2:$A$200,
                   MATCH($A14,'Shared parameters'!$B$2:$B$200,0)
            ),
            'Data Entry'!$A$2:$B$200,
            2,
            FALSE
        ),
        """" &amp;
        VLOOKUP(
            INDEX('Shared parameters'!$A$2:$A$200,
                   MATCH($A14,'Shared parameters'!$B$2:$B$200,0)
            ),
            'Data Entry'!$A$2:$B$200,
            2,
            FALSE
        ) &amp;
        """"
    ),
"")</f>
        <v>"a1b2c3d4-e5f6-7890-1234-567890abcdef"</v>
      </c>
    </row>
    <row r="15" spans="1:4" x14ac:dyDescent="0.3">
      <c r="A15" s="53" t="str">
        <f>INDEX(SharedParams[Name],ROW(B14))</f>
        <v>DPP_AUT_Origin</v>
      </c>
      <c r="B15" s="53" t="str">
        <f>IFERROR(
   VLOOKUP(
      INDEX('Manual workflow'!$B$2:$B$200,
             MATCH($A15,'Manual workflow'!$A$2:$A$200,0)
      ),
      'Built In Parameter groups'!$A$2:$C$200,
      3,
      FALSE
   ),
"")</f>
        <v>PG_IDENTITY_DATA</v>
      </c>
      <c r="C15" s="53" t="str">
        <f>IFERROR(
   IF(
      VLOOKUP(
         INDEX('Shared parameters'!$A$2:$A$200,
                MATCH($A15,'Shared parameters'!$B$2:$B$200,0)
         ),
         'Parameter Categories'!$B$2:$G$200,
         6,
         FALSE
      )="x",
      "No",
      IF(
         VLOOKUP(
            INDEX('Shared parameters'!$A$2:$A$200,
                   MATCH($A15,'Shared parameters'!$B$2:$B$200,0)
            ),
            'Parameter Categories'!$B$2:$G$200,
            5,
            FALSE
         )="x",
         "Yes",
         ""
      )
   ),
"")</f>
        <v>No</v>
      </c>
      <c r="D15" s="55" t="str">
        <f>IFERROR(
    IF(
        ISNUMBER(
            VLOOKUP(
                INDEX('Shared parameters'!$A$2:$A$200,
                       MATCH($A15,'Shared parameters'!$B$2:$B$200,0)
                ),
                'Data Entry'!$A$2:$B$200,
                2,
                FALSE
            )
        ),
        VLOOKUP(
            INDEX('Shared parameters'!$A$2:$A$200,
                   MATCH($A15,'Shared parameters'!$B$2:$B$200,0)
            ),
            'Data Entry'!$A$2:$B$200,
            2,
            FALSE
        ),
        """" &amp;
        VLOOKUP(
            INDEX('Shared parameters'!$A$2:$A$200,
                   MATCH($A15,'Shared parameters'!$B$2:$B$200,0)
            ),
            'Data Entry'!$A$2:$B$200,
            2,
            FALSE
        ) &amp;
        """"
    ),
"")</f>
        <v>"39020 Oris (BZ)"</v>
      </c>
    </row>
    <row r="16" spans="1:4" x14ac:dyDescent="0.3">
      <c r="A16" s="53" t="str">
        <f>INDEX(SharedParams[Name],ROW(B15))</f>
        <v>DPP_AUT_Version</v>
      </c>
      <c r="B16" s="53" t="str">
        <f>IFERROR(
   VLOOKUP(
      INDEX('Manual workflow'!$B$2:$B$200,
             MATCH($A16,'Manual workflow'!$A$2:$A$200,0)
      ),
      'Built In Parameter groups'!$A$2:$C$200,
      3,
      FALSE
   ),
"")</f>
        <v>PG_IDENTITY_DATA</v>
      </c>
      <c r="C16" s="53" t="str">
        <f>IFERROR(
   IF(
      VLOOKUP(
         INDEX('Shared parameters'!$A$2:$A$200,
                MATCH($A16,'Shared parameters'!$B$2:$B$200,0)
         ),
         'Parameter Categories'!$B$2:$G$200,
         6,
         FALSE
      )="x",
      "No",
      IF(
         VLOOKUP(
            INDEX('Shared parameters'!$A$2:$A$200,
                   MATCH($A16,'Shared parameters'!$B$2:$B$200,0)
            ),
            'Parameter Categories'!$B$2:$G$200,
            5,
            FALSE
         )="x",
         "Yes",
         ""
      )
   ),
"")</f>
        <v>No</v>
      </c>
      <c r="D16" s="55" t="str">
        <f>IFERROR(
    IF(
        ISNUMBER(
            VLOOKUP(
                INDEX('Shared parameters'!$A$2:$A$200,
                       MATCH($A16,'Shared parameters'!$B$2:$B$200,0)
                ),
                'Data Entry'!$A$2:$B$200,
                2,
                FALSE
            )
        ),
        VLOOKUP(
            INDEX('Shared parameters'!$A$2:$A$200,
                   MATCH($A16,'Shared parameters'!$B$2:$B$200,0)
            ),
            'Data Entry'!$A$2:$B$200,
            2,
            FALSE
        ),
        """" &amp;
        VLOOKUP(
            INDEX('Shared parameters'!$A$2:$A$200,
                   MATCH($A16,'Shared parameters'!$B$2:$B$200,0)
            ),
            'Data Entry'!$A$2:$B$200,
            2,
            FALSE
        ) &amp;
        """"
    ),
"")</f>
        <v>"HKZ 335"</v>
      </c>
    </row>
    <row r="17" spans="1:4" ht="28.8" x14ac:dyDescent="0.3">
      <c r="A17" s="53" t="str">
        <f>INDEX(SharedParams[Name],ROW(B16))</f>
        <v>DPP_MAT_Material</v>
      </c>
      <c r="B17" s="53" t="str">
        <f>IFERROR(
   VLOOKUP(
      INDEX('Manual workflow'!$B$2:$B$200,
             MATCH($A17,'Manual workflow'!$A$2:$A$200,0)
      ),
      'Built In Parameter groups'!$A$2:$C$200,
      3,
      FALSE
   ),
"")</f>
        <v>PG_MATERIALS</v>
      </c>
      <c r="C17" s="53" t="str">
        <f>IFERROR(
   IF(
      VLOOKUP(
         INDEX('Shared parameters'!$A$2:$A$200,
                MATCH($A17,'Shared parameters'!$B$2:$B$200,0)
         ),
         'Parameter Categories'!$B$2:$G$200,
         6,
         FALSE
      )="x",
      "No",
      IF(
         VLOOKUP(
            INDEX('Shared parameters'!$A$2:$A$200,
                   MATCH($A17,'Shared parameters'!$B$2:$B$200,0)
            ),
            'Parameter Categories'!$B$2:$G$200,
            5,
            FALSE
         )="x",
         "Yes",
         ""
      )
   ),
"")</f>
        <v>Yes</v>
      </c>
      <c r="D17" s="55" t="str">
        <f>IFERROR(
    IF(
        ISNUMBER(
            VLOOKUP(
                INDEX('Shared parameters'!$A$2:$A$200,
                       MATCH($A17,'Shared parameters'!$B$2:$B$200,0)
                ),
                'Data Entry'!$A$2:$B$200,
                2,
                FALSE
            )
        ),
        VLOOKUP(
            INDEX('Shared parameters'!$A$2:$A$200,
                   MATCH($A17,'Shared parameters'!$B$2:$B$200,0)
            ),
            'Data Entry'!$A$2:$B$200,
            2,
            FALSE
        ),
        """" &amp;
        VLOOKUP(
            INDEX('Shared parameters'!$A$2:$A$200,
                   MATCH($A17,'Shared parameters'!$B$2:$B$200,0)
            ),
            'Data Entry'!$A$2:$B$200,
            2,
            FALSE
        ) &amp;
        """"
    ),
"")</f>
        <v>"Infill masonry made of hemp stones "</v>
      </c>
    </row>
    <row r="18" spans="1:4" ht="43.2" x14ac:dyDescent="0.3">
      <c r="A18" s="53" t="str">
        <f>INDEX(SharedParams[Name],ROW(B17))</f>
        <v>DPP_MAT_Components</v>
      </c>
      <c r="B18" s="53" t="str">
        <f>IFERROR(
   VLOOKUP(
      INDEX('Manual workflow'!$B$2:$B$200,
             MATCH($A18,'Manual workflow'!$A$2:$A$200,0)
      ),
      'Built In Parameter groups'!$A$2:$C$200,
      3,
      FALSE
   ),
"")</f>
        <v>PG_MATERIALS</v>
      </c>
      <c r="C18" s="53" t="str">
        <f>IFERROR(
   IF(
      VLOOKUP(
         INDEX('Shared parameters'!$A$2:$A$200,
                MATCH($A18,'Shared parameters'!$B$2:$B$200,0)
         ),
         'Parameter Categories'!$B$2:$G$200,
         6,
         FALSE
      )="x",
      "No",
      IF(
         VLOOKUP(
            INDEX('Shared parameters'!$A$2:$A$200,
                   MATCH($A18,'Shared parameters'!$B$2:$B$200,0)
            ),
            'Parameter Categories'!$B$2:$G$200,
            5,
            FALSE
         )="x",
         "Yes",
         ""
      )
   ),
"")</f>
        <v>No</v>
      </c>
      <c r="D18" s="55" t="str">
        <f>IFERROR(
    IF(
        ISNUMBER(
            VLOOKUP(
                INDEX('Shared parameters'!$A$2:$A$200,
                       MATCH($A18,'Shared parameters'!$B$2:$B$200,0)
                ),
                'Data Entry'!$A$2:$B$200,
                2,
                FALSE
            )
        ),
        VLOOKUP(
            INDEX('Shared parameters'!$A$2:$A$200,
                   MATCH($A18,'Shared parameters'!$B$2:$B$200,0)
            ),
            'Data Entry'!$A$2:$B$200,
            2,
            FALSE
        ),
        """" &amp;
        VLOOKUP(
            INDEX('Shared parameters'!$A$2:$A$200,
                   MATCH($A18,'Shared parameters'!$B$2:$B$200,0)
            ),
            'Data Entry'!$A$2:$B$200,
            2,
            FALSE
        ) &amp;
        """"
    ),
"")</f>
        <v>"8 hempstone bricks of 8x50x20 with a 1/3 displacement with hemp-lime mortar "</v>
      </c>
    </row>
    <row r="19" spans="1:4" x14ac:dyDescent="0.3">
      <c r="A19" s="53" t="str">
        <f>INDEX(SharedParams[Name],ROW(B18))</f>
        <v>DPP_MAT_Composition</v>
      </c>
      <c r="B19" s="53" t="str">
        <f>IFERROR(
   VLOOKUP(
      INDEX('Manual workflow'!$B$2:$B$200,
             MATCH($A19,'Manual workflow'!$A$2:$A$200,0)
      ),
      'Built In Parameter groups'!$A$2:$C$200,
      3,
      FALSE
   ),
"")</f>
        <v>PG_MATERIALS</v>
      </c>
      <c r="C19" s="53" t="str">
        <f>IFERROR(
   IF(
      VLOOKUP(
         INDEX('Shared parameters'!$A$2:$A$200,
                MATCH($A19,'Shared parameters'!$B$2:$B$200,0)
         ),
         'Parameter Categories'!$B$2:$G$200,
         6,
         FALSE
      )="x",
      "No",
      IF(
         VLOOKUP(
            INDEX('Shared parameters'!$A$2:$A$200,
                   MATCH($A19,'Shared parameters'!$B$2:$B$200,0)
            ),
            'Parameter Categories'!$B$2:$G$200,
            5,
            FALSE
         )="x",
         "Yes",
         ""
      )
   ),
"")</f>
        <v>No</v>
      </c>
      <c r="D19" s="55" t="str">
        <f>IFERROR(
    IF(
        ISNUMBER(
            VLOOKUP(
                INDEX('Shared parameters'!$A$2:$A$200,
                       MATCH($A19,'Shared parameters'!$B$2:$B$200,0)
                ),
                'Data Entry'!$A$2:$B$200,
                2,
                FALSE
            )
        ),
        VLOOKUP(
            INDEX('Shared parameters'!$A$2:$A$200,
                   MATCH($A19,'Shared parameters'!$B$2:$B$200,0)
            ),
            'Data Entry'!$A$2:$B$200,
            2,
            FALSE
        ),
        """" &amp;
        VLOOKUP(
            INDEX('Shared parameters'!$A$2:$A$200,
                   MATCH($A19,'Shared parameters'!$B$2:$B$200,0)
            ),
            'Data Entry'!$A$2:$B$200,
            2,
            FALSE
        ) &amp;
        """"
    ),
"")</f>
        <v>"Hemp-lime composite "</v>
      </c>
    </row>
    <row r="20" spans="1:4" x14ac:dyDescent="0.3">
      <c r="A20" s="53" t="str">
        <f>INDEX(SharedParams[Name],ROW(B19))</f>
        <v>DPP_AUT_TypeDimension</v>
      </c>
      <c r="B20" s="53" t="str">
        <f>IFERROR(
   VLOOKUP(
      INDEX('Manual workflow'!$B$2:$B$200,
             MATCH($A20,'Manual workflow'!$A$2:$A$200,0)
      ),
      'Built In Parameter groups'!$A$2:$C$200,
      3,
      FALSE
   ),
"")</f>
        <v>PG_MATERIALS</v>
      </c>
      <c r="C20" s="53" t="str">
        <f>IFERROR(
   IF(
      VLOOKUP(
         INDEX('Shared parameters'!$A$2:$A$200,
                MATCH($A20,'Shared parameters'!$B$2:$B$200,0)
         ),
         'Parameter Categories'!$B$2:$G$200,
         6,
         FALSE
      )="x",
      "No",
      IF(
         VLOOKUP(
            INDEX('Shared parameters'!$A$2:$A$200,
                   MATCH($A20,'Shared parameters'!$B$2:$B$200,0)
            ),
            'Parameter Categories'!$B$2:$G$200,
            5,
            FALSE
         )="x",
         "Yes",
         ""
      )
   ),
"")</f>
        <v>No</v>
      </c>
      <c r="D20" s="55" t="str">
        <f>IFERROR(
    IF(
        ISNUMBER(
            VLOOKUP(
                INDEX('Shared parameters'!$A$2:$A$200,
                       MATCH($A20,'Shared parameters'!$B$2:$B$200,0)
                ),
                'Data Entry'!$A$2:$B$200,
                2,
                FALSE
            )
        ),
        VLOOKUP(
            INDEX('Shared parameters'!$A$2:$A$200,
                   MATCH($A20,'Shared parameters'!$B$2:$B$200,0)
            ),
            'Data Entry'!$A$2:$B$200,
            2,
            FALSE
        ),
        """" &amp;
        VLOOKUP(
            INDEX('Shared parameters'!$A$2:$A$200,
                   MATCH($A20,'Shared parameters'!$B$2:$B$200,0)
            ),
            'Data Entry'!$A$2:$B$200,
            2,
            FALSE
        ) &amp;
        """"
    ),
"")</f>
        <v>"8x50x20"</v>
      </c>
    </row>
    <row r="21" spans="1:4" x14ac:dyDescent="0.3">
      <c r="A21" s="53" t="str">
        <f>INDEX(SharedParams[Name],ROW(B20))</f>
        <v>DPP_DIM_Height_mm</v>
      </c>
      <c r="B21" s="53" t="str">
        <f>IFERROR(
   VLOOKUP(
      INDEX('Manual workflow'!$B$2:$B$200,
             MATCH($A21,'Manual workflow'!$A$2:$A$200,0)
      ),
      'Built In Parameter groups'!$A$2:$C$200,
      3,
      FALSE
   ),
"")</f>
        <v>PG_DIMENSIONS</v>
      </c>
      <c r="C21" s="53" t="str">
        <f>IFERROR(
   IF(
      VLOOKUP(
         INDEX('Shared parameters'!$A$2:$A$200,
                MATCH($A21,'Shared parameters'!$B$2:$B$200,0)
         ),
         'Parameter Categories'!$B$2:$G$200,
         6,
         FALSE
      )="x",
      "No",
      IF(
         VLOOKUP(
            INDEX('Shared parameters'!$A$2:$A$200,
                   MATCH($A21,'Shared parameters'!$B$2:$B$200,0)
            ),
            'Parameter Categories'!$B$2:$G$200,
            5,
            FALSE
         )="x",
         "Yes",
         ""
      )
   ),
"")</f>
        <v>No</v>
      </c>
      <c r="D21" s="55">
        <f>IFERROR(
    IF(
        ISNUMBER(
            VLOOKUP(
                INDEX('Shared parameters'!$A$2:$A$200,
                       MATCH($A21,'Shared parameters'!$B$2:$B$200,0)
                ),
                'Data Entry'!$A$2:$B$200,
                2,
                FALSE
            )
        ),
        VLOOKUP(
            INDEX('Shared parameters'!$A$2:$A$200,
                   MATCH($A21,'Shared parameters'!$B$2:$B$200,0)
            ),
            'Data Entry'!$A$2:$B$200,
            2,
            FALSE
        ),
        """" &amp;
        VLOOKUP(
            INDEX('Shared parameters'!$A$2:$A$200,
                   MATCH($A21,'Shared parameters'!$B$2:$B$200,0)
            ),
            'Data Entry'!$A$2:$B$200,
            2,
            FALSE
        ) &amp;
        """"
    ),
"")</f>
        <v>200</v>
      </c>
    </row>
    <row r="22" spans="1:4" x14ac:dyDescent="0.3">
      <c r="A22" s="53" t="str">
        <f>INDEX(SharedParams[Name],ROW(B21))</f>
        <v>DPP_DIM_Length_mm</v>
      </c>
      <c r="B22" s="53" t="str">
        <f>IFERROR(
   VLOOKUP(
      INDEX('Manual workflow'!$B$2:$B$200,
             MATCH($A22,'Manual workflow'!$A$2:$A$200,0)
      ),
      'Built In Parameter groups'!$A$2:$C$200,
      3,
      FALSE
   ),
"")</f>
        <v>PG_DIMENSIONS</v>
      </c>
      <c r="C22" s="53" t="str">
        <f>IFERROR(
   IF(
      VLOOKUP(
         INDEX('Shared parameters'!$A$2:$A$200,
                MATCH($A22,'Shared parameters'!$B$2:$B$200,0)
         ),
         'Parameter Categories'!$B$2:$G$200,
         6,
         FALSE
      )="x",
      "No",
      IF(
         VLOOKUP(
            INDEX('Shared parameters'!$A$2:$A$200,
                   MATCH($A22,'Shared parameters'!$B$2:$B$200,0)
            ),
            'Parameter Categories'!$B$2:$G$200,
            5,
            FALSE
         )="x",
         "Yes",
         ""
      )
   ),
"")</f>
        <v>No</v>
      </c>
      <c r="D22" s="55">
        <f>IFERROR(
    IF(
        ISNUMBER(
            VLOOKUP(
                INDEX('Shared parameters'!$A$2:$A$200,
                       MATCH($A22,'Shared parameters'!$B$2:$B$200,0)
                ),
                'Data Entry'!$A$2:$B$200,
                2,
                FALSE
            )
        ),
        VLOOKUP(
            INDEX('Shared parameters'!$A$2:$A$200,
                   MATCH($A22,'Shared parameters'!$B$2:$B$200,0)
            ),
            'Data Entry'!$A$2:$B$200,
            2,
            FALSE
        ),
        """" &amp;
        VLOOKUP(
            INDEX('Shared parameters'!$A$2:$A$200,
                   MATCH($A22,'Shared parameters'!$B$2:$B$200,0)
            ),
            'Data Entry'!$A$2:$B$200,
            2,
            FALSE
        ) &amp;
        """"
    ),
"")</f>
        <v>80</v>
      </c>
    </row>
    <row r="23" spans="1:4" x14ac:dyDescent="0.3">
      <c r="A23" s="53" t="str">
        <f>INDEX(SharedParams[Name],ROW(B22))</f>
        <v>DPP_DIM_Width_mm</v>
      </c>
      <c r="B23" s="53" t="str">
        <f>IFERROR(
   VLOOKUP(
      INDEX('Manual workflow'!$B$2:$B$200,
             MATCH($A23,'Manual workflow'!$A$2:$A$200,0)
      ),
      'Built In Parameter groups'!$A$2:$C$200,
      3,
      FALSE
   ),
"")</f>
        <v>PG_DIMENSIONS</v>
      </c>
      <c r="C23" s="53" t="str">
        <f>IFERROR(
   IF(
      VLOOKUP(
         INDEX('Shared parameters'!$A$2:$A$200,
                MATCH($A23,'Shared parameters'!$B$2:$B$200,0)
         ),
         'Parameter Categories'!$B$2:$G$200,
         6,
         FALSE
      )="x",
      "No",
      IF(
         VLOOKUP(
            INDEX('Shared parameters'!$A$2:$A$200,
                   MATCH($A23,'Shared parameters'!$B$2:$B$200,0)
            ),
            'Parameter Categories'!$B$2:$G$200,
            5,
            FALSE
         )="x",
         "Yes",
         ""
      )
   ),
"")</f>
        <v>No</v>
      </c>
      <c r="D23" s="55">
        <f>IFERROR(
    IF(
        ISNUMBER(
            VLOOKUP(
                INDEX('Shared parameters'!$A$2:$A$200,
                       MATCH($A23,'Shared parameters'!$B$2:$B$200,0)
                ),
                'Data Entry'!$A$2:$B$200,
                2,
                FALSE
            )
        ),
        VLOOKUP(
            INDEX('Shared parameters'!$A$2:$A$200,
                   MATCH($A23,'Shared parameters'!$B$2:$B$200,0)
            ),
            'Data Entry'!$A$2:$B$200,
            2,
            FALSE
        ),
        """" &amp;
        VLOOKUP(
            INDEX('Shared parameters'!$A$2:$A$200,
                   MATCH($A23,'Shared parameters'!$B$2:$B$200,0)
            ),
            'Data Entry'!$A$2:$B$200,
            2,
            FALSE
        ) &amp;
        """"
    ),
"")</f>
        <v>500</v>
      </c>
    </row>
    <row r="24" spans="1:4" x14ac:dyDescent="0.3">
      <c r="A24" s="53" t="str">
        <f>INDEX(SharedParams[Name],ROW(B23))</f>
        <v>DPP_DIM_Volume_m3</v>
      </c>
      <c r="B24" s="53" t="str">
        <f>IFERROR(
   VLOOKUP(
      INDEX('Manual workflow'!$B$2:$B$200,
             MATCH($A24,'Manual workflow'!$A$2:$A$200,0)
      ),
      'Built In Parameter groups'!$A$2:$C$200,
      3,
      FALSE
   ),
"")</f>
        <v>PG_DIMENSIONS</v>
      </c>
      <c r="C24" s="53" t="str">
        <f>IFERROR(
   IF(
      VLOOKUP(
         INDEX('Shared parameters'!$A$2:$A$200,
                MATCH($A24,'Shared parameters'!$B$2:$B$200,0)
         ),
         'Parameter Categories'!$B$2:$G$200,
         6,
         FALSE
      )="x",
      "No",
      IF(
         VLOOKUP(
            INDEX('Shared parameters'!$A$2:$A$200,
                   MATCH($A24,'Shared parameters'!$B$2:$B$200,0)
            ),
            'Parameter Categories'!$B$2:$G$200,
            5,
            FALSE
         )="x",
         "Yes",
         ""
      )
   ),
"")</f>
        <v>No</v>
      </c>
      <c r="D24" s="55">
        <f>IFERROR(
    IF(
        ISNUMBER(
            VLOOKUP(
                INDEX('Shared parameters'!$A$2:$A$200,
                       MATCH($A24,'Shared parameters'!$B$2:$B$200,0)
                ),
                'Data Entry'!$A$2:$B$200,
                2,
                FALSE
            )
        ),
        VLOOKUP(
            INDEX('Shared parameters'!$A$2:$A$200,
                   MATCH($A24,'Shared parameters'!$B$2:$B$200,0)
            ),
            'Data Entry'!$A$2:$B$200,
            2,
            FALSE
        ),
        """" &amp;
        VLOOKUP(
            INDEX('Shared parameters'!$A$2:$A$200,
                   MATCH($A24,'Shared parameters'!$B$2:$B$200,0)
            ),
            'Data Entry'!$A$2:$B$200,
            2,
            FALSE
        ) &amp;
        """"
    ),
"")</f>
        <v>8.0000000000000002E-3</v>
      </c>
    </row>
    <row r="25" spans="1:4" x14ac:dyDescent="0.3">
      <c r="A25" s="53" t="str">
        <f>INDEX(SharedParams[Name],ROW(B24))</f>
        <v>DPP_DAT_DryDensity_kgm3</v>
      </c>
      <c r="B25" s="53" t="str">
        <f>IFERROR(
   VLOOKUP(
      INDEX('Manual workflow'!$B$2:$B$200,
             MATCH($A25,'Manual workflow'!$A$2:$A$200,0)
      ),
      'Built In Parameter groups'!$A$2:$C$200,
      3,
      FALSE
   ),
"")</f>
        <v>PG_DIMENSIONS</v>
      </c>
      <c r="C25" s="53" t="str">
        <f>IFERROR(
   IF(
      VLOOKUP(
         INDEX('Shared parameters'!$A$2:$A$200,
                MATCH($A25,'Shared parameters'!$B$2:$B$200,0)
         ),
         'Parameter Categories'!$B$2:$G$200,
         6,
         FALSE
      )="x",
      "No",
      IF(
         VLOOKUP(
            INDEX('Shared parameters'!$A$2:$A$200,
                   MATCH($A25,'Shared parameters'!$B$2:$B$200,0)
            ),
            'Parameter Categories'!$B$2:$G$200,
            5,
            FALSE
         )="x",
         "Yes",
         ""
      )
   ),
"")</f>
        <v>No</v>
      </c>
      <c r="D25" s="55">
        <f>IFERROR(
    IF(
        ISNUMBER(
            VLOOKUP(
                INDEX('Shared parameters'!$A$2:$A$200,
                       MATCH($A25,'Shared parameters'!$B$2:$B$200,0)
                ),
                'Data Entry'!$A$2:$B$200,
                2,
                FALSE
            )
        ),
        VLOOKUP(
            INDEX('Shared parameters'!$A$2:$A$200,
                   MATCH($A25,'Shared parameters'!$B$2:$B$200,0)
            ),
            'Data Entry'!$A$2:$B$200,
            2,
            FALSE
        ),
        """" &amp;
        VLOOKUP(
            INDEX('Shared parameters'!$A$2:$A$200,
                   MATCH($A25,'Shared parameters'!$B$2:$B$200,0)
            ),
            'Data Entry'!$A$2:$B$200,
            2,
            FALSE
        ) &amp;
        """"
    ),
"")</f>
        <v>335</v>
      </c>
    </row>
    <row r="26" spans="1:4" x14ac:dyDescent="0.3">
      <c r="A26" s="53" t="str">
        <f>INDEX(SharedParams[Name],ROW(B25))</f>
        <v>DPP_DAT_EqDensity_kgm3</v>
      </c>
      <c r="B26" s="53" t="str">
        <f>IFERROR(
   VLOOKUP(
      INDEX('Manual workflow'!$B$2:$B$200,
             MATCH($A26,'Manual workflow'!$A$2:$A$200,0)
      ),
      'Built In Parameter groups'!$A$2:$C$200,
      3,
      FALSE
   ),
"")</f>
        <v>PG_DIMENSIONS</v>
      </c>
      <c r="C26" s="53" t="str">
        <f>IFERROR(
   IF(
      VLOOKUP(
         INDEX('Shared parameters'!$A$2:$A$200,
                MATCH($A26,'Shared parameters'!$B$2:$B$200,0)
         ),
         'Parameter Categories'!$B$2:$G$200,
         6,
         FALSE
      )="x",
      "No",
      IF(
         VLOOKUP(
            INDEX('Shared parameters'!$A$2:$A$200,
                   MATCH($A26,'Shared parameters'!$B$2:$B$200,0)
            ),
            'Parameter Categories'!$B$2:$G$200,
            5,
            FALSE
         )="x",
         "Yes",
         ""
      )
   ),
"")</f>
        <v>No</v>
      </c>
      <c r="D26" s="55">
        <f>IFERROR(
    IF(
        ISNUMBER(
            VLOOKUP(
                INDEX('Shared parameters'!$A$2:$A$200,
                       MATCH($A26,'Shared parameters'!$B$2:$B$200,0)
                ),
                'Data Entry'!$A$2:$B$200,
                2,
                FALSE
            )
        ),
        VLOOKUP(
            INDEX('Shared parameters'!$A$2:$A$200,
                   MATCH($A26,'Shared parameters'!$B$2:$B$200,0)
            ),
            'Data Entry'!$A$2:$B$200,
            2,
            FALSE
        ),
        """" &amp;
        VLOOKUP(
            INDEX('Shared parameters'!$A$2:$A$200,
                   MATCH($A26,'Shared parameters'!$B$2:$B$200,0)
            ),
            'Data Entry'!$A$2:$B$200,
            2,
            FALSE
        ) &amp;
        """"
    ),
"")</f>
        <v>405</v>
      </c>
    </row>
    <row r="27" spans="1:4" x14ac:dyDescent="0.3">
      <c r="A27" s="53" t="str">
        <f>INDEX(SharedParams[Name],ROW(B26))</f>
        <v>DPP_DAT_Weight_kg</v>
      </c>
      <c r="B27" s="53" t="str">
        <f>IFERROR(
   VLOOKUP(
      INDEX('Manual workflow'!$B$2:$B$200,
             MATCH($A27,'Manual workflow'!$A$2:$A$200,0)
      ),
      'Built In Parameter groups'!$A$2:$C$200,
      3,
      FALSE
   ),
"")</f>
        <v>PG_DIMENSIONS</v>
      </c>
      <c r="C27" s="53" t="str">
        <f>IFERROR(
   IF(
      VLOOKUP(
         INDEX('Shared parameters'!$A$2:$A$200,
                MATCH($A27,'Shared parameters'!$B$2:$B$200,0)
         ),
         'Parameter Categories'!$B$2:$G$200,
         6,
         FALSE
      )="x",
      "No",
      IF(
         VLOOKUP(
            INDEX('Shared parameters'!$A$2:$A$200,
                   MATCH($A27,'Shared parameters'!$B$2:$B$200,0)
            ),
            'Parameter Categories'!$B$2:$G$200,
            5,
            FALSE
         )="x",
         "Yes",
         ""
      )
   ),
"")</f>
        <v>No</v>
      </c>
      <c r="D27" s="55">
        <f>IFERROR(
    IF(
        ISNUMBER(
            VLOOKUP(
                INDEX('Shared parameters'!$A$2:$A$200,
                       MATCH($A27,'Shared parameters'!$B$2:$B$200,0)
                ),
                'Data Entry'!$A$2:$B$200,
                2,
                FALSE
            )
        ),
        VLOOKUP(
            INDEX('Shared parameters'!$A$2:$A$200,
                   MATCH($A27,'Shared parameters'!$B$2:$B$200,0)
            ),
            'Data Entry'!$A$2:$B$200,
            2,
            FALSE
        ),
        """" &amp;
        VLOOKUP(
            INDEX('Shared parameters'!$A$2:$A$200,
                   MATCH($A27,'Shared parameters'!$B$2:$B$200,0)
            ),
            'Data Entry'!$A$2:$B$200,
            2,
            FALSE
        ) &amp;
        """"
    ),
"")</f>
        <v>2.68</v>
      </c>
    </row>
    <row r="28" spans="1:4" x14ac:dyDescent="0.3">
      <c r="A28" s="53" t="str">
        <f>INDEX(SharedParams[Name],ROW(B27))</f>
        <v>DPP_DAT_CompressiveStrenght_Mpa</v>
      </c>
      <c r="B28" s="53" t="str">
        <f>IFERROR(
   VLOOKUP(
      INDEX('Manual workflow'!$B$2:$B$200,
             MATCH($A28,'Manual workflow'!$A$2:$A$200,0)
      ),
      'Built In Parameter groups'!$A$2:$C$200,
      3,
      FALSE
   ),
"")</f>
        <v>PG_STRUCTURAL</v>
      </c>
      <c r="C28" s="53" t="str">
        <f>IFERROR(
   IF(
      VLOOKUP(
         INDEX('Shared parameters'!$A$2:$A$200,
                MATCH($A28,'Shared parameters'!$B$2:$B$200,0)
         ),
         'Parameter Categories'!$B$2:$G$200,
         6,
         FALSE
      )="x",
      "No",
      IF(
         VLOOKUP(
            INDEX('Shared parameters'!$A$2:$A$200,
                   MATCH($A28,'Shared parameters'!$B$2:$B$200,0)
            ),
            'Parameter Categories'!$B$2:$G$200,
            5,
            FALSE
         )="x",
         "Yes",
         ""
      )
   ),
"")</f>
        <v>No</v>
      </c>
      <c r="D28" s="55">
        <f>IFERROR(
    IF(
        ISNUMBER(
            VLOOKUP(
                INDEX('Shared parameters'!$A$2:$A$200,
                       MATCH($A28,'Shared parameters'!$B$2:$B$200,0)
                ),
                'Data Entry'!$A$2:$B$200,
                2,
                FALSE
            )
        ),
        VLOOKUP(
            INDEX('Shared parameters'!$A$2:$A$200,
                   MATCH($A28,'Shared parameters'!$B$2:$B$200,0)
            ),
            'Data Entry'!$A$2:$B$200,
            2,
            FALSE
        ),
        """" &amp;
        VLOOKUP(
            INDEX('Shared parameters'!$A$2:$A$200,
                   MATCH($A28,'Shared parameters'!$B$2:$B$200,0)
            ),
            'Data Entry'!$A$2:$B$200,
            2,
            FALSE
        ) &amp;
        """"
    ),
"")</f>
        <v>0.5</v>
      </c>
    </row>
    <row r="29" spans="1:4" x14ac:dyDescent="0.3">
      <c r="A29" s="53" t="str">
        <f>INDEX(SharedParams[Name],ROW(B28))</f>
        <v>DPP_DAT_ShearStrenght_Mpa</v>
      </c>
      <c r="B29" s="53" t="str">
        <f>IFERROR(
   VLOOKUP(
      INDEX('Manual workflow'!$B$2:$B$200,
             MATCH($A29,'Manual workflow'!$A$2:$A$200,0)
      ),
      'Built In Parameter groups'!$A$2:$C$200,
      3,
      FALSE
   ),
"")</f>
        <v>PG_STRUCTURAL</v>
      </c>
      <c r="C29" s="53" t="str">
        <f>IFERROR(
   IF(
      VLOOKUP(
         INDEX('Shared parameters'!$A$2:$A$200,
                MATCH($A29,'Shared parameters'!$B$2:$B$200,0)
         ),
         'Parameter Categories'!$B$2:$G$200,
         6,
         FALSE
      )="x",
      "No",
      IF(
         VLOOKUP(
            INDEX('Shared parameters'!$A$2:$A$200,
                   MATCH($A29,'Shared parameters'!$B$2:$B$200,0)
            ),
            'Parameter Categories'!$B$2:$G$200,
            5,
            FALSE
         )="x",
         "Yes",
         ""
      )
   ),
"")</f>
        <v>No</v>
      </c>
      <c r="D29" s="55">
        <f>IFERROR(
    IF(
        ISNUMBER(
            VLOOKUP(
                INDEX('Shared parameters'!$A$2:$A$200,
                       MATCH($A29,'Shared parameters'!$B$2:$B$200,0)
                ),
                'Data Entry'!$A$2:$B$200,
                2,
                FALSE
            )
        ),
        VLOOKUP(
            INDEX('Shared parameters'!$A$2:$A$200,
                   MATCH($A29,'Shared parameters'!$B$2:$B$200,0)
            ),
            'Data Entry'!$A$2:$B$200,
            2,
            FALSE
        ),
        """" &amp;
        VLOOKUP(
            INDEX('Shared parameters'!$A$2:$A$200,
                   MATCH($A29,'Shared parameters'!$B$2:$B$200,0)
            ),
            'Data Entry'!$A$2:$B$200,
            2,
            FALSE
        ) &amp;
        """"
    ),
"")</f>
        <v>0.12</v>
      </c>
    </row>
    <row r="30" spans="1:4" x14ac:dyDescent="0.3">
      <c r="A30" s="53" t="str">
        <f>INDEX(SharedParams[Name],ROW(B29))</f>
        <v>DPP_DAT_ThermalConductivity_WmK</v>
      </c>
      <c r="B30" s="53" t="str">
        <f>IFERROR(
   VLOOKUP(
      INDEX('Manual workflow'!$B$2:$B$200,
             MATCH($A30,'Manual workflow'!$A$2:$A$200,0)
      ),
      'Built In Parameter groups'!$A$2:$C$200,
      3,
      FALSE
   ),
"")</f>
        <v>PG_ENERGYANALYSIS</v>
      </c>
      <c r="C30" s="53" t="str">
        <f>IFERROR(
   IF(
      VLOOKUP(
         INDEX('Shared parameters'!$A$2:$A$200,
                MATCH($A30,'Shared parameters'!$B$2:$B$200,0)
         ),
         'Parameter Categories'!$B$2:$G$200,
         6,
         FALSE
      )="x",
      "No",
      IF(
         VLOOKUP(
            INDEX('Shared parameters'!$A$2:$A$200,
                   MATCH($A30,'Shared parameters'!$B$2:$B$200,0)
            ),
            'Parameter Categories'!$B$2:$G$200,
            5,
            FALSE
         )="x",
         "Yes",
         ""
      )
   ),
"")</f>
        <v>No</v>
      </c>
      <c r="D30" s="55">
        <f>IFERROR(
    IF(
        ISNUMBER(
            VLOOKUP(
                INDEX('Shared parameters'!$A$2:$A$200,
                       MATCH($A30,'Shared parameters'!$B$2:$B$200,0)
                ),
                'Data Entry'!$A$2:$B$200,
                2,
                FALSE
            )
        ),
        VLOOKUP(
            INDEX('Shared parameters'!$A$2:$A$200,
                   MATCH($A30,'Shared parameters'!$B$2:$B$200,0)
            ),
            'Data Entry'!$A$2:$B$200,
            2,
            FALSE
        ),
        """" &amp;
        VLOOKUP(
            INDEX('Shared parameters'!$A$2:$A$200,
                   MATCH($A30,'Shared parameters'!$B$2:$B$200,0)
            ),
            'Data Entry'!$A$2:$B$200,
            2,
            FALSE
        ) &amp;
        """"
    ),
"")</f>
        <v>7.0000000000000007E-2</v>
      </c>
    </row>
    <row r="31" spans="1:4" x14ac:dyDescent="0.3">
      <c r="A31" s="53" t="str">
        <f>INDEX(SharedParams[Name],ROW(B30))</f>
        <v>DPP_DAT_Uvalue_Wm2K</v>
      </c>
      <c r="B31" s="53" t="str">
        <f>IFERROR(
   VLOOKUP(
      INDEX('Manual workflow'!$B$2:$B$200,
             MATCH($A31,'Manual workflow'!$A$2:$A$200,0)
      ),
      'Built In Parameter groups'!$A$2:$C$200,
      3,
      FALSE
   ),
"")</f>
        <v>PG_ENERGYANALYSIS</v>
      </c>
      <c r="C31" s="53" t="str">
        <f>IFERROR(
   IF(
      VLOOKUP(
         INDEX('Shared parameters'!$A$2:$A$200,
                MATCH($A31,'Shared parameters'!$B$2:$B$200,0)
         ),
         'Parameter Categories'!$B$2:$G$200,
         6,
         FALSE
      )="x",
      "No",
      IF(
         VLOOKUP(
            INDEX('Shared parameters'!$A$2:$A$200,
                   MATCH($A31,'Shared parameters'!$B$2:$B$200,0)
            ),
            'Parameter Categories'!$B$2:$G$200,
            5,
            FALSE
         )="x",
         "Yes",
         ""
      )
   ),
"")</f>
        <v>No</v>
      </c>
      <c r="D31" s="55">
        <f>IFERROR(
    IF(
        ISNUMBER(
            VLOOKUP(
                INDEX('Shared parameters'!$A$2:$A$200,
                       MATCH($A31,'Shared parameters'!$B$2:$B$200,0)
                ),
                'Data Entry'!$A$2:$B$200,
                2,
                FALSE
            )
        ),
        VLOOKUP(
            INDEX('Shared parameters'!$A$2:$A$200,
                   MATCH($A31,'Shared parameters'!$B$2:$B$200,0)
            ),
            'Data Entry'!$A$2:$B$200,
            2,
            FALSE
        ),
        """" &amp;
        VLOOKUP(
            INDEX('Shared parameters'!$A$2:$A$200,
                   MATCH($A31,'Shared parameters'!$B$2:$B$200,0)
            ),
            'Data Entry'!$A$2:$B$200,
            2,
            FALSE
        ) &amp;
        """"
    ),
"")</f>
        <v>0.76</v>
      </c>
    </row>
    <row r="32" spans="1:4" x14ac:dyDescent="0.3">
      <c r="A32" s="53" t="str">
        <f>INDEX(SharedParams[Name],ROW(B31))</f>
        <v>DPP_DAT_SpeHeatCap_JkgK</v>
      </c>
      <c r="B32" s="53" t="str">
        <f>IFERROR(
   VLOOKUP(
      INDEX('Manual workflow'!$B$2:$B$200,
             MATCH($A32,'Manual workflow'!$A$2:$A$200,0)
      ),
      'Built In Parameter groups'!$A$2:$C$200,
      3,
      FALSE
   ),
"")</f>
        <v>PG_ENERGYANALYSIS</v>
      </c>
      <c r="C32" s="53" t="str">
        <f>IFERROR(
   IF(
      VLOOKUP(
         INDEX('Shared parameters'!$A$2:$A$200,
                MATCH($A32,'Shared parameters'!$B$2:$B$200,0)
         ),
         'Parameter Categories'!$B$2:$G$200,
         6,
         FALSE
      )="x",
      "No",
      IF(
         VLOOKUP(
            INDEX('Shared parameters'!$A$2:$A$200,
                   MATCH($A32,'Shared parameters'!$B$2:$B$200,0)
            ),
            'Parameter Categories'!$B$2:$G$200,
            5,
            FALSE
         )="x",
         "Yes",
         ""
      )
   ),
"")</f>
        <v>No</v>
      </c>
      <c r="D32" s="55">
        <f>IFERROR(
    IF(
        ISNUMBER(
            VLOOKUP(
                INDEX('Shared parameters'!$A$2:$A$200,
                       MATCH($A32,'Shared parameters'!$B$2:$B$200,0)
                ),
                'Data Entry'!$A$2:$B$200,
                2,
                FALSE
            )
        ),
        VLOOKUP(
            INDEX('Shared parameters'!$A$2:$A$200,
                   MATCH($A32,'Shared parameters'!$B$2:$B$200,0)
            ),
            'Data Entry'!$A$2:$B$200,
            2,
            FALSE
        ),
        """" &amp;
        VLOOKUP(
            INDEX('Shared parameters'!$A$2:$A$200,
                   MATCH($A32,'Shared parameters'!$B$2:$B$200,0)
            ),
            'Data Entry'!$A$2:$B$200,
            2,
            FALSE
        ) &amp;
        """"
    ),
"")</f>
        <v>1870</v>
      </c>
    </row>
    <row r="33" spans="1:4" x14ac:dyDescent="0.3">
      <c r="A33" s="53" t="str">
        <f>INDEX(SharedParams[Name],ROW(B32))</f>
        <v>DPP_DAT_PhaseShift_Hours</v>
      </c>
      <c r="B33" s="53" t="str">
        <f>IFERROR(
   VLOOKUP(
      INDEX('Manual workflow'!$B$2:$B$200,
             MATCH($A33,'Manual workflow'!$A$2:$A$200,0)
      ),
      'Built In Parameter groups'!$A$2:$C$200,
      3,
      FALSE
   ),
"")</f>
        <v>PG_ENERGYANALYSIS</v>
      </c>
      <c r="C33" s="53" t="str">
        <f>IFERROR(
   IF(
      VLOOKUP(
         INDEX('Shared parameters'!$A$2:$A$200,
                MATCH($A33,'Shared parameters'!$B$2:$B$200,0)
         ),
         'Parameter Categories'!$B$2:$G$200,
         6,
         FALSE
      )="x",
      "No",
      IF(
         VLOOKUP(
            INDEX('Shared parameters'!$A$2:$A$200,
                   MATCH($A33,'Shared parameters'!$B$2:$B$200,0)
            ),
            'Parameter Categories'!$B$2:$G$200,
            5,
            FALSE
         )="x",
         "Yes",
         ""
      )
   ),
"")</f>
        <v>No</v>
      </c>
      <c r="D33" s="55">
        <f>IFERROR(
    IF(
        ISNUMBER(
            VLOOKUP(
                INDEX('Shared parameters'!$A$2:$A$200,
                       MATCH($A33,'Shared parameters'!$B$2:$B$200,0)
                ),
                'Data Entry'!$A$2:$B$200,
                2,
                FALSE
            )
        ),
        VLOOKUP(
            INDEX('Shared parameters'!$A$2:$A$200,
                   MATCH($A33,'Shared parameters'!$B$2:$B$200,0)
            ),
            'Data Entry'!$A$2:$B$200,
            2,
            FALSE
        ),
        """" &amp;
        VLOOKUP(
            INDEX('Shared parameters'!$A$2:$A$200,
                   MATCH($A33,'Shared parameters'!$B$2:$B$200,0)
            ),
            'Data Entry'!$A$2:$B$200,
            2,
            FALSE
        ) &amp;
        """"
    ),
"")</f>
        <v>0.13125000000000001</v>
      </c>
    </row>
    <row r="34" spans="1:4" x14ac:dyDescent="0.3">
      <c r="A34" s="53" t="str">
        <f>INDEX(SharedParams[Name],ROW(B33))</f>
        <v>DPP_DAT_MoistureBuffer_m2%HR</v>
      </c>
      <c r="B34" s="53" t="str">
        <f>IFERROR(
   VLOOKUP(
      INDEX('Manual workflow'!$B$2:$B$200,
             MATCH($A34,'Manual workflow'!$A$2:$A$200,0)
      ),
      'Built In Parameter groups'!$A$2:$C$200,
      3,
      FALSE
   ),
"")</f>
        <v>PG_GENERAL</v>
      </c>
      <c r="C34" s="53" t="str">
        <f>IFERROR(
   IF(
      VLOOKUP(
         INDEX('Shared parameters'!$A$2:$A$200,
                MATCH($A34,'Shared parameters'!$B$2:$B$200,0)
         ),
         'Parameter Categories'!$B$2:$G$200,
         6,
         FALSE
      )="x",
      "No",
      IF(
         VLOOKUP(
            INDEX('Shared parameters'!$A$2:$A$200,
                   MATCH($A34,'Shared parameters'!$B$2:$B$200,0)
            ),
            'Parameter Categories'!$B$2:$G$200,
            5,
            FALSE
         )="x",
         "Yes",
         ""
      )
   ),
"")</f>
        <v>No</v>
      </c>
      <c r="D34" s="55">
        <f>IFERROR(
    IF(
        ISNUMBER(
            VLOOKUP(
                INDEX('Shared parameters'!$A$2:$A$200,
                       MATCH($A34,'Shared parameters'!$B$2:$B$200,0)
                ),
                'Data Entry'!$A$2:$B$200,
                2,
                FALSE
            )
        ),
        VLOOKUP(
            INDEX('Shared parameters'!$A$2:$A$200,
                   MATCH($A34,'Shared parameters'!$B$2:$B$200,0)
            ),
            'Data Entry'!$A$2:$B$200,
            2,
            FALSE
        ),
        """" &amp;
        VLOOKUP(
            INDEX('Shared parameters'!$A$2:$A$200,
                   MATCH($A34,'Shared parameters'!$B$2:$B$200,0)
            ),
            'Data Entry'!$A$2:$B$200,
            2,
            FALSE
        ) &amp;
        """"
    ),
"")</f>
        <v>2.35</v>
      </c>
    </row>
    <row r="35" spans="1:4" x14ac:dyDescent="0.3">
      <c r="A35" s="53" t="str">
        <f>INDEX(SharedParams[Name],ROW(B34))</f>
        <v>DPP_DAT_VaporDiffμ_wet</v>
      </c>
      <c r="B35" s="53" t="str">
        <f>IFERROR(
   VLOOKUP(
      INDEX('Manual workflow'!$B$2:$B$200,
             MATCH($A35,'Manual workflow'!$A$2:$A$200,0)
      ),
      'Built In Parameter groups'!$A$2:$C$200,
      3,
      FALSE
   ),
"")</f>
        <v>PG_GENERAL</v>
      </c>
      <c r="C35" s="53" t="str">
        <f>IFERROR(
   IF(
      VLOOKUP(
         INDEX('Shared parameters'!$A$2:$A$200,
                MATCH($A35,'Shared parameters'!$B$2:$B$200,0)
         ),
         'Parameter Categories'!$B$2:$G$200,
         6,
         FALSE
      )="x",
      "No",
      IF(
         VLOOKUP(
            INDEX('Shared parameters'!$A$2:$A$200,
                   MATCH($A35,'Shared parameters'!$B$2:$B$200,0)
            ),
            'Parameter Categories'!$B$2:$G$200,
            5,
            FALSE
         )="x",
         "Yes",
         ""
      )
   ),
"")</f>
        <v>No</v>
      </c>
      <c r="D35" s="55">
        <f>IFERROR(
    IF(
        ISNUMBER(
            VLOOKUP(
                INDEX('Shared parameters'!$A$2:$A$200,
                       MATCH($A35,'Shared parameters'!$B$2:$B$200,0)
                ),
                'Data Entry'!$A$2:$B$200,
                2,
                FALSE
            )
        ),
        VLOOKUP(
            INDEX('Shared parameters'!$A$2:$A$200,
                   MATCH($A35,'Shared parameters'!$B$2:$B$200,0)
            ),
            'Data Entry'!$A$2:$B$200,
            2,
            FALSE
        ),
        """" &amp;
        VLOOKUP(
            INDEX('Shared parameters'!$A$2:$A$200,
                   MATCH($A35,'Shared parameters'!$B$2:$B$200,0)
            ),
            'Data Entry'!$A$2:$B$200,
            2,
            FALSE
        ) &amp;
        """"
    ),
"")</f>
        <v>3.8</v>
      </c>
    </row>
    <row r="36" spans="1:4" x14ac:dyDescent="0.3">
      <c r="A36" s="53" t="str">
        <f>INDEX(SharedParams[Name],ROW(B35))</f>
        <v>DPP_DAT_VaporDiffμ_dry</v>
      </c>
      <c r="B36" s="53" t="str">
        <f>IFERROR(
   VLOOKUP(
      INDEX('Manual workflow'!$B$2:$B$200,
             MATCH($A36,'Manual workflow'!$A$2:$A$200,0)
      ),
      'Built In Parameter groups'!$A$2:$C$200,
      3,
      FALSE
   ),
"")</f>
        <v>PG_GENERAL</v>
      </c>
      <c r="C36" s="53" t="str">
        <f>IFERROR(
   IF(
      VLOOKUP(
         INDEX('Shared parameters'!$A$2:$A$200,
                MATCH($A36,'Shared parameters'!$B$2:$B$200,0)
         ),
         'Parameter Categories'!$B$2:$G$200,
         6,
         FALSE
      )="x",
      "No",
      IF(
         VLOOKUP(
            INDEX('Shared parameters'!$A$2:$A$200,
                   MATCH($A36,'Shared parameters'!$B$2:$B$200,0)
            ),
            'Parameter Categories'!$B$2:$G$200,
            5,
            FALSE
         )="x",
         "Yes",
         ""
      )
   ),
"")</f>
        <v>No</v>
      </c>
      <c r="D36" s="55">
        <f>IFERROR(
    IF(
        ISNUMBER(
            VLOOKUP(
                INDEX('Shared parameters'!$A$2:$A$200,
                       MATCH($A36,'Shared parameters'!$B$2:$B$200,0)
                ),
                'Data Entry'!$A$2:$B$200,
                2,
                FALSE
            )
        ),
        VLOOKUP(
            INDEX('Shared parameters'!$A$2:$A$200,
                   MATCH($A36,'Shared parameters'!$B$2:$B$200,0)
            ),
            'Data Entry'!$A$2:$B$200,
            2,
            FALSE
        ),
        """" &amp;
        VLOOKUP(
            INDEX('Shared parameters'!$A$2:$A$200,
                   MATCH($A36,'Shared parameters'!$B$2:$B$200,0)
            ),
            'Data Entry'!$A$2:$B$200,
            2,
            FALSE
        ) &amp;
        """"
    ),
"")</f>
        <v>4.3</v>
      </c>
    </row>
    <row r="37" spans="1:4" x14ac:dyDescent="0.3">
      <c r="A37" s="53" t="str">
        <f>INDEX(SharedParams[Name],ROW(B36))</f>
        <v>DPP_DAT_VaporAbsorption</v>
      </c>
      <c r="B37" s="53" t="str">
        <f>IFERROR(
   VLOOKUP(
      INDEX('Manual workflow'!$B$2:$B$200,
             MATCH($A37,'Manual workflow'!$A$2:$A$200,0)
      ),
      'Built In Parameter groups'!$A$2:$C$200,
      3,
      FALSE
   ),
"")</f>
        <v>PG_GENERAL</v>
      </c>
      <c r="C37" s="53" t="str">
        <f>IFERROR(
   IF(
      VLOOKUP(
         INDEX('Shared parameters'!$A$2:$A$200,
                MATCH($A37,'Shared parameters'!$B$2:$B$200,0)
         ),
         'Parameter Categories'!$B$2:$G$200,
         6,
         FALSE
      )="x",
      "No",
      IF(
         VLOOKUP(
            INDEX('Shared parameters'!$A$2:$A$200,
                   MATCH($A37,'Shared parameters'!$B$2:$B$200,0)
            ),
            'Parameter Categories'!$B$2:$G$200,
            5,
            FALSE
         )="x",
         "Yes",
         ""
      )
   ),
"")</f>
        <v>No</v>
      </c>
      <c r="D37" s="55">
        <f>IFERROR(
    IF(
        ISNUMBER(
            VLOOKUP(
                INDEX('Shared parameters'!$A$2:$A$200,
                       MATCH($A37,'Shared parameters'!$B$2:$B$200,0)
                ),
                'Data Entry'!$A$2:$B$200,
                2,
                FALSE
            )
        ),
        VLOOKUP(
            INDEX('Shared parameters'!$A$2:$A$200,
                   MATCH($A37,'Shared parameters'!$B$2:$B$200,0)
            ),
            'Data Entry'!$A$2:$B$200,
            2,
            FALSE
        ),
        """" &amp;
        VLOOKUP(
            INDEX('Shared parameters'!$A$2:$A$200,
                   MATCH($A37,'Shared parameters'!$B$2:$B$200,0)
            ),
            'Data Entry'!$A$2:$B$200,
            2,
            FALSE
        ) &amp;
        """"
    ),
"")</f>
        <v>19</v>
      </c>
    </row>
    <row r="38" spans="1:4" x14ac:dyDescent="0.3">
      <c r="A38" s="53" t="str">
        <f>INDEX(SharedParams[Name],ROW(B37))</f>
        <v>DPP_DAT_StandarCompliance</v>
      </c>
      <c r="B38" s="53" t="str">
        <f>IFERROR(
   VLOOKUP(
      INDEX('Manual workflow'!$B$2:$B$200,
             MATCH($A38,'Manual workflow'!$A$2:$A$200,0)
      ),
      'Built In Parameter groups'!$A$2:$C$200,
      3,
      FALSE
   ),
"")</f>
        <v>PG_IDENTITY_DATA</v>
      </c>
      <c r="C38" s="53" t="str">
        <f>IFERROR(
   IF(
      VLOOKUP(
         INDEX('Shared parameters'!$A$2:$A$200,
                MATCH($A38,'Shared parameters'!$B$2:$B$200,0)
         ),
         'Parameter Categories'!$B$2:$G$200,
         6,
         FALSE
      )="x",
      "No",
      IF(
         VLOOKUP(
            INDEX('Shared parameters'!$A$2:$A$200,
                   MATCH($A38,'Shared parameters'!$B$2:$B$200,0)
            ),
            'Parameter Categories'!$B$2:$G$200,
            5,
            FALSE
         )="x",
         "Yes",
         ""
      )
   ),
"")</f>
        <v>No</v>
      </c>
      <c r="D38" s="55" t="str">
        <f>IFERROR(
    IF(
        ISNUMBER(
            VLOOKUP(
                INDEX('Shared parameters'!$A$2:$A$200,
                       MATCH($A38,'Shared parameters'!$B$2:$B$200,0)
                ),
                'Data Entry'!$A$2:$B$200,
                2,
                FALSE
            )
        ),
        VLOOKUP(
            INDEX('Shared parameters'!$A$2:$A$200,
                   MATCH($A38,'Shared parameters'!$B$2:$B$200,0)
            ),
            'Data Entry'!$A$2:$B$200,
            2,
            FALSE
        ),
        """" &amp;
        VLOOKUP(
            INDEX('Shared parameters'!$A$2:$A$200,
                   MATCH($A38,'Shared parameters'!$B$2:$B$200,0)
            ),
            'Data Entry'!$A$2:$B$200,
            2,
            FALSE
        ) &amp;
        """"
    ),
"")</f>
        <v>"Yes"</v>
      </c>
    </row>
    <row r="39" spans="1:4" x14ac:dyDescent="0.3">
      <c r="A39" s="53" t="str">
        <f>INDEX(SharedParams[Name],ROW(B38))</f>
        <v>DPP_CIR_ConnectionType</v>
      </c>
      <c r="B39" s="53" t="str">
        <f>IFERROR(
   VLOOKUP(
      INDEX('Manual workflow'!$B$2:$B$200,
             MATCH($A39,'Manual workflow'!$A$2:$A$200,0)
      ),
      'Built In Parameter groups'!$A$2:$C$200,
      3,
      FALSE
   ),
"")</f>
        <v>PG_CONSTRUCTION</v>
      </c>
      <c r="C39" s="53" t="str">
        <f>IFERROR(
   IF(
      VLOOKUP(
         INDEX('Shared parameters'!$A$2:$A$200,
                MATCH($A39,'Shared parameters'!$B$2:$B$200,0)
         ),
         'Parameter Categories'!$B$2:$G$200,
         6,
         FALSE
      )="x",
      "No",
      IF(
         VLOOKUP(
            INDEX('Shared parameters'!$A$2:$A$200,
                   MATCH($A39,'Shared parameters'!$B$2:$B$200,0)
            ),
            'Parameter Categories'!$B$2:$G$200,
            5,
            FALSE
         )="x",
         "Yes",
         ""
      )
   ),
"")</f>
        <v>No</v>
      </c>
      <c r="D39" s="55" t="str">
        <f>IFERROR(
    IF(
        ISNUMBER(
            VLOOKUP(
                INDEX('Shared parameters'!$A$2:$A$200,
                       MATCH($A39,'Shared parameters'!$B$2:$B$200,0)
                ),
                'Data Entry'!$A$2:$B$200,
                2,
                FALSE
            )
        ),
        VLOOKUP(
            INDEX('Shared parameters'!$A$2:$A$200,
                   MATCH($A39,'Shared parameters'!$B$2:$B$200,0)
            ),
            'Data Entry'!$A$2:$B$200,
            2,
            FALSE
        ),
        """" &amp;
        VLOOKUP(
            INDEX('Shared parameters'!$A$2:$A$200,
                   MATCH($A39,'Shared parameters'!$B$2:$B$200,0)
            ),
            'Data Entry'!$A$2:$B$200,
            2,
            FALSE
        ) &amp;
        """"
    ),
"")</f>
        <v>"Mortar"</v>
      </c>
    </row>
    <row r="40" spans="1:4" x14ac:dyDescent="0.3">
      <c r="A40" s="53" t="str">
        <f>INDEX(SharedParams[Name],ROW(B39))</f>
        <v>DPP_CIR_ConnectionScore</v>
      </c>
      <c r="B40" s="53" t="str">
        <f>IFERROR(
   VLOOKUP(
      INDEX('Manual workflow'!$B$2:$B$200,
             MATCH($A40,'Manual workflow'!$A$2:$A$200,0)
      ),
      'Built In Parameter groups'!$A$2:$C$200,
      3,
      FALSE
   ),
"")</f>
        <v>PG_CONSTRUCTION</v>
      </c>
      <c r="C40" s="53" t="str">
        <f>IFERROR(
   IF(
      VLOOKUP(
         INDEX('Shared parameters'!$A$2:$A$200,
                MATCH($A40,'Shared parameters'!$B$2:$B$200,0)
         ),
         'Parameter Categories'!$B$2:$G$200,
         6,
         FALSE
      )="x",
      "No",
      IF(
         VLOOKUP(
            INDEX('Shared parameters'!$A$2:$A$200,
                   MATCH($A40,'Shared parameters'!$B$2:$B$200,0)
            ),
            'Parameter Categories'!$B$2:$G$200,
            5,
            FALSE
         )="x",
         "Yes",
         ""
      )
   ),
"")</f>
        <v>No</v>
      </c>
      <c r="D40" s="55">
        <f>IFERROR(
    IF(
        ISNUMBER(
            VLOOKUP(
                INDEX('Shared parameters'!$A$2:$A$200,
                       MATCH($A40,'Shared parameters'!$B$2:$B$200,0)
                ),
                'Data Entry'!$A$2:$B$200,
                2,
                FALSE
            )
        ),
        VLOOKUP(
            INDEX('Shared parameters'!$A$2:$A$200,
                   MATCH($A40,'Shared parameters'!$B$2:$B$200,0)
            ),
            'Data Entry'!$A$2:$B$200,
            2,
            FALSE
        ),
        """" &amp;
        VLOOKUP(
            INDEX('Shared parameters'!$A$2:$A$200,
                   MATCH($A40,'Shared parameters'!$B$2:$B$200,0)
            ),
            'Data Entry'!$A$2:$B$200,
            2,
            FALSE
        ) &amp;
        """"
    ),
"")</f>
        <v>0.3</v>
      </c>
    </row>
    <row r="41" spans="1:4" x14ac:dyDescent="0.3">
      <c r="A41" s="53" t="str">
        <f>INDEX(SharedParams[Name],ROW(B40))</f>
        <v>DPP_CIR_Prefabrication</v>
      </c>
      <c r="B41" s="53" t="str">
        <f>IFERROR(
   VLOOKUP(
      INDEX('Manual workflow'!$B$2:$B$200,
             MATCH($A41,'Manual workflow'!$A$2:$A$200,0)
      ),
      'Built In Parameter groups'!$A$2:$C$200,
      3,
      FALSE
   ),
"")</f>
        <v>PG_CONSTRUCTION</v>
      </c>
      <c r="C41" s="53" t="str">
        <f>IFERROR(
   IF(
      VLOOKUP(
         INDEX('Shared parameters'!$A$2:$A$200,
                MATCH($A41,'Shared parameters'!$B$2:$B$200,0)
         ),
         'Parameter Categories'!$B$2:$G$200,
         6,
         FALSE
      )="x",
      "No",
      IF(
         VLOOKUP(
            INDEX('Shared parameters'!$A$2:$A$200,
                   MATCH($A41,'Shared parameters'!$B$2:$B$200,0)
            ),
            'Parameter Categories'!$B$2:$G$200,
            5,
            FALSE
         )="x",
         "Yes",
         ""
      )
   ),
"")</f>
        <v>No</v>
      </c>
      <c r="D41" s="55" t="str">
        <f>IFERROR(
    IF(
        ISNUMBER(
            VLOOKUP(
                INDEX('Shared parameters'!$A$2:$A$200,
                       MATCH($A41,'Shared parameters'!$B$2:$B$200,0)
                ),
                'Data Entry'!$A$2:$B$200,
                2,
                FALSE
            )
        ),
        VLOOKUP(
            INDEX('Shared parameters'!$A$2:$A$200,
                   MATCH($A41,'Shared parameters'!$B$2:$B$200,0)
            ),
            'Data Entry'!$A$2:$B$200,
            2,
            FALSE
        ),
        """" &amp;
        VLOOKUP(
            INDEX('Shared parameters'!$A$2:$A$200,
                   MATCH($A41,'Shared parameters'!$B$2:$B$200,0)
            ),
            'Data Entry'!$A$2:$B$200,
            2,
            FALSE
        ) &amp;
        """"
    ),
"")</f>
        <v>"Yes"</v>
      </c>
    </row>
    <row r="42" spans="1:4" x14ac:dyDescent="0.3">
      <c r="A42" s="53" t="str">
        <f>INDEX(SharedParams[Name],ROW(B41))</f>
        <v>DPP_CIR_PrefabricationFactor</v>
      </c>
      <c r="B42" s="53" t="str">
        <f>IFERROR(
   VLOOKUP(
      INDEX('Manual workflow'!$B$2:$B$200,
             MATCH($A42,'Manual workflow'!$A$2:$A$200,0)
      ),
      'Built In Parameter groups'!$A$2:$C$200,
      3,
      FALSE
   ),
"")</f>
        <v>PG_CONSTRUCTION</v>
      </c>
      <c r="C42" s="53" t="str">
        <f>IFERROR(
   IF(
      VLOOKUP(
         INDEX('Shared parameters'!$A$2:$A$200,
                MATCH($A42,'Shared parameters'!$B$2:$B$200,0)
         ),
         'Parameter Categories'!$B$2:$G$200,
         6,
         FALSE
      )="x",
      "No",
      IF(
         VLOOKUP(
            INDEX('Shared parameters'!$A$2:$A$200,
                   MATCH($A42,'Shared parameters'!$B$2:$B$200,0)
            ),
            'Parameter Categories'!$B$2:$G$200,
            5,
            FALSE
         )="x",
         "Yes",
         ""
      )
   ),
"")</f>
        <v>No</v>
      </c>
      <c r="D42" s="55">
        <f>IFERROR(
    IF(
        ISNUMBER(
            VLOOKUP(
                INDEX('Shared parameters'!$A$2:$A$200,
                       MATCH($A42,'Shared parameters'!$B$2:$B$200,0)
                ),
                'Data Entry'!$A$2:$B$200,
                2,
                FALSE
            )
        ),
        VLOOKUP(
            INDEX('Shared parameters'!$A$2:$A$200,
                   MATCH($A42,'Shared parameters'!$B$2:$B$200,0)
            ),
            'Data Entry'!$A$2:$B$200,
            2,
            FALSE
        ),
        """" &amp;
        VLOOKUP(
            INDEX('Shared parameters'!$A$2:$A$200,
                   MATCH($A42,'Shared parameters'!$B$2:$B$200,0)
            ),
            'Data Entry'!$A$2:$B$200,
            2,
            FALSE
        ) &amp;
        """"
    ),
"")</f>
        <v>1</v>
      </c>
    </row>
    <row r="43" spans="1:4" x14ac:dyDescent="0.3">
      <c r="A43" s="53" t="str">
        <f>INDEX(SharedParams[Name],ROW(B42))</f>
        <v>DPP_CIR_DeconstructabilityScore</v>
      </c>
      <c r="B43" s="53" t="str">
        <f>IFERROR(
   VLOOKUP(
      INDEX('Manual workflow'!$B$2:$B$200,
             MATCH($A43,'Manual workflow'!$A$2:$A$200,0)
      ),
      'Built In Parameter groups'!$A$2:$C$200,
      3,
      FALSE
   ),
"")</f>
        <v>PG_CONSTRUCTION</v>
      </c>
      <c r="C43" s="53" t="str">
        <f>IFERROR(
   IF(
      VLOOKUP(
         INDEX('Shared parameters'!$A$2:$A$200,
                MATCH($A43,'Shared parameters'!$B$2:$B$200,0)
         ),
         'Parameter Categories'!$B$2:$G$200,
         6,
         FALSE
      )="x",
      "No",
      IF(
         VLOOKUP(
            INDEX('Shared parameters'!$A$2:$A$200,
                   MATCH($A43,'Shared parameters'!$B$2:$B$200,0)
            ),
            'Parameter Categories'!$B$2:$G$200,
            5,
            FALSE
         )="x",
         "Yes",
         ""
      )
   ),
"")</f>
        <v>No</v>
      </c>
      <c r="D43" s="55">
        <f>IFERROR(
    IF(
        ISNUMBER(
            VLOOKUP(
                INDEX('Shared parameters'!$A$2:$A$200,
                       MATCH($A43,'Shared parameters'!$B$2:$B$200,0)
                ),
                'Data Entry'!$A$2:$B$200,
                2,
                FALSE
            )
        ),
        VLOOKUP(
            INDEX('Shared parameters'!$A$2:$A$200,
                   MATCH($A43,'Shared parameters'!$B$2:$B$200,0)
            ),
            'Data Entry'!$A$2:$B$200,
            2,
            FALSE
        ),
        """" &amp;
        VLOOKUP(
            INDEX('Shared parameters'!$A$2:$A$200,
                   MATCH($A43,'Shared parameters'!$B$2:$B$200,0)
            ),
            'Data Entry'!$A$2:$B$200,
            2,
            FALSE
        ) &amp;
        """"
    ),
"")</f>
        <v>0.5</v>
      </c>
    </row>
    <row r="44" spans="1:4" x14ac:dyDescent="0.3">
      <c r="A44" s="53" t="str">
        <f>INDEX(SharedParams[Name],ROW(B43))</f>
        <v>DPP_CIR_RecyclingPotential</v>
      </c>
      <c r="B44" s="53" t="str">
        <f>IFERROR(
   VLOOKUP(
      INDEX('Manual workflow'!$B$2:$B$200,
             MATCH($A44,'Manual workflow'!$A$2:$A$200,0)
      ),
      'Built In Parameter groups'!$A$2:$C$200,
      3,
      FALSE
   ),
"")</f>
        <v>PG_CONSTRUCTION</v>
      </c>
      <c r="C44" s="53" t="str">
        <f>IFERROR(
   IF(
      VLOOKUP(
         INDEX('Shared parameters'!$A$2:$A$200,
                MATCH($A44,'Shared parameters'!$B$2:$B$200,0)
         ),
         'Parameter Categories'!$B$2:$G$200,
         6,
         FALSE
      )="x",
      "No",
      IF(
         VLOOKUP(
            INDEX('Shared parameters'!$A$2:$A$200,
                   MATCH($A44,'Shared parameters'!$B$2:$B$200,0)
            ),
            'Parameter Categories'!$B$2:$G$200,
            5,
            FALSE
         )="x",
         "Yes",
         ""
      )
   ),
"")</f>
        <v>No</v>
      </c>
      <c r="D44" s="55">
        <f>IFERROR(
    IF(
        ISNUMBER(
            VLOOKUP(
                INDEX('Shared parameters'!$A$2:$A$200,
                       MATCH($A44,'Shared parameters'!$B$2:$B$200,0)
                ),
                'Data Entry'!$A$2:$B$200,
                2,
                FALSE
            )
        ),
        VLOOKUP(
            INDEX('Shared parameters'!$A$2:$A$200,
                   MATCH($A44,'Shared parameters'!$B$2:$B$200,0)
            ),
            'Data Entry'!$A$2:$B$200,
            2,
            FALSE
        ),
        """" &amp;
        VLOOKUP(
            INDEX('Shared parameters'!$A$2:$A$200,
                   MATCH($A44,'Shared parameters'!$B$2:$B$200,0)
            ),
            'Data Entry'!$A$2:$B$200,
            2,
            FALSE
        ) &amp;
        """"
    ),
"")</f>
        <v>100</v>
      </c>
    </row>
    <row r="45" spans="1:4" x14ac:dyDescent="0.3">
      <c r="A45" s="53" t="str">
        <f>INDEX(SharedParams[Name],ROW(B44))</f>
        <v>DPP_CIR_Reusability</v>
      </c>
      <c r="B45" s="53" t="str">
        <f>IFERROR(
   VLOOKUP(
      INDEX('Manual workflow'!$B$2:$B$200,
             MATCH($A45,'Manual workflow'!$A$2:$A$200,0)
      ),
      'Built In Parameter groups'!$A$2:$C$200,
      3,
      FALSE
   ),
"")</f>
        <v>PG_CONSTRUCTION</v>
      </c>
      <c r="C45" s="53" t="str">
        <f>IFERROR(
   IF(
      VLOOKUP(
         INDEX('Shared parameters'!$A$2:$A$200,
                MATCH($A45,'Shared parameters'!$B$2:$B$200,0)
         ),
         'Parameter Categories'!$B$2:$G$200,
         6,
         FALSE
      )="x",
      "No",
      IF(
         VLOOKUP(
            INDEX('Shared parameters'!$A$2:$A$200,
                   MATCH($A45,'Shared parameters'!$B$2:$B$200,0)
            ),
            'Parameter Categories'!$B$2:$G$200,
            5,
            FALSE
         )="x",
         "Yes",
         ""
      )
   ),
"")</f>
        <v>No</v>
      </c>
      <c r="D45" s="55" t="str">
        <f>IFERROR(
    IF(
        ISNUMBER(
            VLOOKUP(
                INDEX('Shared parameters'!$A$2:$A$200,
                       MATCH($A45,'Shared parameters'!$B$2:$B$200,0)
                ),
                'Data Entry'!$A$2:$B$200,
                2,
                FALSE
            )
        ),
        VLOOKUP(
            INDEX('Shared parameters'!$A$2:$A$200,
                   MATCH($A45,'Shared parameters'!$B$2:$B$200,0)
            ),
            'Data Entry'!$A$2:$B$200,
            2,
            FALSE
        ),
        """" &amp;
        VLOOKUP(
            INDEX('Shared parameters'!$A$2:$A$200,
                   MATCH($A45,'Shared parameters'!$B$2:$B$200,0)
            ),
            'Data Entry'!$A$2:$B$200,
            2,
            FALSE
        ) &amp;
        """"
    ),
"")</f>
        <v>"No"</v>
      </c>
    </row>
    <row r="46" spans="1:4" x14ac:dyDescent="0.3">
      <c r="A46" s="53" t="str">
        <f>INDEX(SharedParams[Name],ROW(B45))</f>
        <v>DPP_CIR_ReusabilityPotential</v>
      </c>
      <c r="B46" s="53" t="str">
        <f>IFERROR(
   VLOOKUP(
      INDEX('Manual workflow'!$B$2:$B$200,
             MATCH($A46,'Manual workflow'!$A$2:$A$200,0)
      ),
      'Built In Parameter groups'!$A$2:$C$200,
      3,
      FALSE
   ),
"")</f>
        <v>PG_CONSTRUCTION</v>
      </c>
      <c r="C46" s="53" t="str">
        <f>IFERROR(
   IF(
      VLOOKUP(
         INDEX('Shared parameters'!$A$2:$A$200,
                MATCH($A46,'Shared parameters'!$B$2:$B$200,0)
         ),
         'Parameter Categories'!$B$2:$G$200,
         6,
         FALSE
      )="x",
      "No",
      IF(
         VLOOKUP(
            INDEX('Shared parameters'!$A$2:$A$200,
                   MATCH($A46,'Shared parameters'!$B$2:$B$200,0)
            ),
            'Parameter Categories'!$B$2:$G$200,
            5,
            FALSE
         )="x",
         "Yes",
         ""
      )
   ),
"")</f>
        <v>No</v>
      </c>
      <c r="D46" s="55">
        <f>IFERROR(
    IF(
        ISNUMBER(
            VLOOKUP(
                INDEX('Shared parameters'!$A$2:$A$200,
                       MATCH($A46,'Shared parameters'!$B$2:$B$200,0)
                ),
                'Data Entry'!$A$2:$B$200,
                2,
                FALSE
            )
        ),
        VLOOKUP(
            INDEX('Shared parameters'!$A$2:$A$200,
                   MATCH($A46,'Shared parameters'!$B$2:$B$200,0)
            ),
            'Data Entry'!$A$2:$B$200,
            2,
            FALSE
        ),
        """" &amp;
        VLOOKUP(
            INDEX('Shared parameters'!$A$2:$A$200,
                   MATCH($A46,'Shared parameters'!$B$2:$B$200,0)
            ),
            'Data Entry'!$A$2:$B$200,
            2,
            FALSE
        ) &amp;
        """"
    ),
"")</f>
        <v>0</v>
      </c>
    </row>
    <row r="47" spans="1:4" x14ac:dyDescent="0.3">
      <c r="A47" s="53" t="str">
        <f>INDEX(SharedParams[Name],ROW(B46))</f>
        <v>DPP_CIR_RecoveryScore</v>
      </c>
      <c r="B47" s="53" t="str">
        <f>IFERROR(
   VLOOKUP(
      INDEX('Manual workflow'!$B$2:$B$200,
             MATCH($A47,'Manual workflow'!$A$2:$A$200,0)
      ),
      'Built In Parameter groups'!$A$2:$C$200,
      3,
      FALSE
   ),
"")</f>
        <v>PG_CONSTRUCTION</v>
      </c>
      <c r="C47" s="53" t="str">
        <f>IFERROR(
   IF(
      VLOOKUP(
         INDEX('Shared parameters'!$A$2:$A$200,
                MATCH($A47,'Shared parameters'!$B$2:$B$200,0)
         ),
         'Parameter Categories'!$B$2:$G$200,
         6,
         FALSE
      )="x",
      "No",
      IF(
         VLOOKUP(
            INDEX('Shared parameters'!$A$2:$A$200,
                   MATCH($A47,'Shared parameters'!$B$2:$B$200,0)
            ),
            'Parameter Categories'!$B$2:$G$200,
            5,
            FALSE
         )="x",
         "Yes",
         ""
      )
   ),
"")</f>
        <v>No</v>
      </c>
      <c r="D47" s="55">
        <f>IFERROR(
    IF(
        ISNUMBER(
            VLOOKUP(
                INDEX('Shared parameters'!$A$2:$A$200,
                       MATCH($A47,'Shared parameters'!$B$2:$B$200,0)
                ),
                'Data Entry'!$A$2:$B$200,
                2,
                FALSE
            )
        ),
        VLOOKUP(
            INDEX('Shared parameters'!$A$2:$A$200,
                   MATCH($A47,'Shared parameters'!$B$2:$B$200,0)
            ),
            'Data Entry'!$A$2:$B$200,
            2,
            FALSE
        ),
        """" &amp;
        VLOOKUP(
            INDEX('Shared parameters'!$A$2:$A$200,
                   MATCH($A47,'Shared parameters'!$B$2:$B$200,0)
            ),
            'Data Entry'!$A$2:$B$200,
            2,
            FALSE
        ) &amp;
        """"
    ),
"")</f>
        <v>0.5</v>
      </c>
    </row>
    <row r="48" spans="1:4" x14ac:dyDescent="0.3">
      <c r="A48" s="53" t="str">
        <f>INDEX(SharedParams[Name],ROW(B47))</f>
        <v>DPP_CIR_Disassemblypotential</v>
      </c>
      <c r="B48" s="53" t="str">
        <f>IFERROR(
   VLOOKUP(
      INDEX('Manual workflow'!$B$2:$B$200,
             MATCH($A48,'Manual workflow'!$A$2:$A$200,0)
      ),
      'Built In Parameter groups'!$A$2:$C$200,
      3,
      FALSE
   ),
"")</f>
        <v>PG_CONSTRUCTION</v>
      </c>
      <c r="C48" s="53" t="str">
        <f>IFERROR(
   IF(
      VLOOKUP(
         INDEX('Shared parameters'!$A$2:$A$200,
                MATCH($A48,'Shared parameters'!$B$2:$B$200,0)
         ),
         'Parameter Categories'!$B$2:$G$200,
         6,
         FALSE
      )="x",
      "No",
      IF(
         VLOOKUP(
            INDEX('Shared parameters'!$A$2:$A$200,
                   MATCH($A48,'Shared parameters'!$B$2:$B$200,0)
            ),
            'Parameter Categories'!$B$2:$G$200,
            5,
            FALSE
         )="x",
         "Yes",
         ""
      )
   ),
"")</f>
        <v>No</v>
      </c>
      <c r="D48" s="55">
        <f>IFERROR(
    IF(
        ISNUMBER(
            VLOOKUP(
                INDEX('Shared parameters'!$A$2:$A$200,
                       MATCH($A48,'Shared parameters'!$B$2:$B$200,0)
                ),
                'Data Entry'!$A$2:$B$200,
                2,
                FALSE
            )
        ),
        VLOOKUP(
            INDEX('Shared parameters'!$A$2:$A$200,
                   MATCH($A48,'Shared parameters'!$B$2:$B$200,0)
            ),
            'Data Entry'!$A$2:$B$200,
            2,
            FALSE
        ),
        """" &amp;
        VLOOKUP(
            INDEX('Shared parameters'!$A$2:$A$200,
                   MATCH($A48,'Shared parameters'!$B$2:$B$200,0)
            ),
            'Data Entry'!$A$2:$B$200,
            2,
            FALSE
        ) &amp;
        """"
    ),
"")</f>
        <v>3</v>
      </c>
    </row>
    <row r="49" spans="1:4" ht="28.8" x14ac:dyDescent="0.3">
      <c r="A49" s="53" t="str">
        <f>INDEX(SharedParams[Name],ROW(B48))</f>
        <v>DPP_CIR_DisassemblyInstructions</v>
      </c>
      <c r="B49" s="53" t="str">
        <f>IFERROR(
   VLOOKUP(
      INDEX('Manual workflow'!$B$2:$B$200,
             MATCH($A49,'Manual workflow'!$A$2:$A$200,0)
      ),
      'Built In Parameter groups'!$A$2:$C$200,
      3,
      FALSE
   ),
"")</f>
        <v>PG_CONSTRUCTION</v>
      </c>
      <c r="C49" s="53" t="str">
        <f>IFERROR(
   IF(
      VLOOKUP(
         INDEX('Shared parameters'!$A$2:$A$200,
                MATCH($A49,'Shared parameters'!$B$2:$B$200,0)
         ),
         'Parameter Categories'!$B$2:$G$200,
         6,
         FALSE
      )="x",
      "No",
      IF(
         VLOOKUP(
            INDEX('Shared parameters'!$A$2:$A$200,
                   MATCH($A49,'Shared parameters'!$B$2:$B$200,0)
            ),
            'Parameter Categories'!$B$2:$G$200,
            5,
            FALSE
         )="x",
         "Yes",
         ""
      )
   ),
"")</f>
        <v>No</v>
      </c>
      <c r="D49" s="55" t="str">
        <f>IFERROR(
    IF(
        ISNUMBER(
            VLOOKUP(
                INDEX('Shared parameters'!$A$2:$A$200,
                       MATCH($A49,'Shared parameters'!$B$2:$B$200,0)
                ),
                'Data Entry'!$A$2:$B$200,
                2,
                FALSE
            )
        ),
        VLOOKUP(
            INDEX('Shared parameters'!$A$2:$A$200,
                   MATCH($A49,'Shared parameters'!$B$2:$B$200,0)
            ),
            'Data Entry'!$A$2:$B$200,
            2,
            FALSE
        ),
        """" &amp;
        VLOOKUP(
            INDEX('Shared parameters'!$A$2:$A$200,
                   MATCH($A49,'Shared parameters'!$B$2:$B$200,0)
            ),
            'Data Entry'!$A$2:$B$200,
            2,
            FALSE
        ) &amp;
        """"
    ),
"")</f>
        <v>"Mechanical dismantling: Crushing and Sieving for Recycling"</v>
      </c>
    </row>
    <row r="50" spans="1:4" ht="43.2" x14ac:dyDescent="0.3">
      <c r="A50" s="53" t="str">
        <f>INDEX(SharedParams[Name],ROW(B49))</f>
        <v>DPP_CIR_SecondaryUse</v>
      </c>
      <c r="B50" s="53" t="str">
        <f>IFERROR(
   VLOOKUP(
      INDEX('Manual workflow'!$B$2:$B$200,
             MATCH($A50,'Manual workflow'!$A$2:$A$200,0)
      ),
      'Built In Parameter groups'!$A$2:$C$200,
      3,
      FALSE
   ),
"")</f>
        <v>PG_CONSTRUCTION</v>
      </c>
      <c r="C50" s="53" t="str">
        <f>IFERROR(
   IF(
      VLOOKUP(
         INDEX('Shared parameters'!$A$2:$A$200,
                MATCH($A50,'Shared parameters'!$B$2:$B$200,0)
         ),
         'Parameter Categories'!$B$2:$G$200,
         6,
         FALSE
      )="x",
      "No",
      IF(
         VLOOKUP(
            INDEX('Shared parameters'!$A$2:$A$200,
                   MATCH($A50,'Shared parameters'!$B$2:$B$200,0)
            ),
            'Parameter Categories'!$B$2:$G$200,
            5,
            FALSE
         )="x",
         "Yes",
         ""
      )
   ),
"")</f>
        <v>No</v>
      </c>
      <c r="D50" s="55" t="str">
        <f>IFERROR(
    IF(
        ISNUMBER(
            VLOOKUP(
                INDEX('Shared parameters'!$A$2:$A$200,
                       MATCH($A50,'Shared parameters'!$B$2:$B$200,0)
                ),
                'Data Entry'!$A$2:$B$200,
                2,
                FALSE
            )
        ),
        VLOOKUP(
            INDEX('Shared parameters'!$A$2:$A$200,
                   MATCH($A50,'Shared parameters'!$B$2:$B$200,0)
            ),
            'Data Entry'!$A$2:$B$200,
            2,
            FALSE
        ),
        """" &amp;
        VLOOKUP(
            INDEX('Shared parameters'!$A$2:$A$200,
                   MATCH($A50,'Shared parameters'!$B$2:$B$200,0)
            ),
            'Data Entry'!$A$2:$B$200,
            2,
            FALSE
        ) &amp;
        """"
    ),
"")</f>
        <v>"Reused on the construction site for applications requiring increased density, such as floor material"</v>
      </c>
    </row>
    <row r="51" spans="1:4" ht="28.8" x14ac:dyDescent="0.3">
      <c r="A51" s="53" t="str">
        <f>INDEX(SharedParams[Name],ROW(B50))</f>
        <v>DPP_CIR_EndofLifeRecomendations</v>
      </c>
      <c r="B51" s="53" t="str">
        <f>IFERROR(
   VLOOKUP(
      INDEX('Manual workflow'!$B$2:$B$200,
             MATCH($A51,'Manual workflow'!$A$2:$A$200,0)
      ),
      'Built In Parameter groups'!$A$2:$C$200,
      3,
      FALSE
   ),
"")</f>
        <v>PG_CONSTRUCTION</v>
      </c>
      <c r="C51" s="53" t="str">
        <f>IFERROR(
   IF(
      VLOOKUP(
         INDEX('Shared parameters'!$A$2:$A$200,
                MATCH($A51,'Shared parameters'!$B$2:$B$200,0)
         ),
         'Parameter Categories'!$B$2:$G$200,
         6,
         FALSE
      )="x",
      "No",
      IF(
         VLOOKUP(
            INDEX('Shared parameters'!$A$2:$A$200,
                   MATCH($A51,'Shared parameters'!$B$2:$B$200,0)
            ),
            'Parameter Categories'!$B$2:$G$200,
            5,
            FALSE
         )="x",
         "Yes",
         ""
      )
   ),
"")</f>
        <v>No</v>
      </c>
      <c r="D51" s="55" t="str">
        <f>IFERROR(
    IF(
        ISNUMBER(
            VLOOKUP(
                INDEX('Shared parameters'!$A$2:$A$200,
                       MATCH($A51,'Shared parameters'!$B$2:$B$200,0)
                ),
                'Data Entry'!$A$2:$B$200,
                2,
                FALSE
            )
        ),
        VLOOKUP(
            INDEX('Shared parameters'!$A$2:$A$200,
                   MATCH($A51,'Shared parameters'!$B$2:$B$200,0)
            ),
            'Data Entry'!$A$2:$B$200,
            2,
            FALSE
        ),
        """" &amp;
        VLOOKUP(
            INDEX('Shared parameters'!$A$2:$A$200,
                   MATCH($A51,'Shared parameters'!$B$2:$B$200,0)
            ),
            'Data Entry'!$A$2:$B$200,
            2,
            FALSE
        ) &amp;
        """"
    ),
"")</f>
        <v>"Composting and soil improvement; Disposal via incineration"</v>
      </c>
    </row>
    <row r="52" spans="1:4" x14ac:dyDescent="0.3">
      <c r="A52" s="53" t="str">
        <f>INDEX(SharedParams[Name],ROW(B51))</f>
        <v>DPP_END_EPD</v>
      </c>
      <c r="B52" s="53" t="str">
        <f>IFERROR(
   VLOOKUP(
      INDEX('Manual workflow'!$B$2:$B$200,
             MATCH($A52,'Manual workflow'!$A$2:$A$200,0)
      ),
      'Built In Parameter groups'!$A$2:$C$200,
      3,
      FALSE
   ),
"")</f>
        <v>PG_GREEN_PROPERTIES</v>
      </c>
      <c r="C52" s="53" t="str">
        <f>IFERROR(
   IF(
      VLOOKUP(
         INDEX('Shared parameters'!$A$2:$A$200,
                MATCH($A52,'Shared parameters'!$B$2:$B$200,0)
         ),
         'Parameter Categories'!$B$2:$G$200,
         6,
         FALSE
      )="x",
      "No",
      IF(
         VLOOKUP(
            INDEX('Shared parameters'!$A$2:$A$200,
                   MATCH($A52,'Shared parameters'!$B$2:$B$200,0)
            ),
            'Parameter Categories'!$B$2:$G$200,
            5,
            FALSE
         )="x",
         "Yes",
         ""
      )
   ),
"")</f>
        <v>No</v>
      </c>
      <c r="D52" s="55" t="str">
        <f>IFERROR(
    IF(
        ISNUMBER(
            VLOOKUP(
                INDEX('Shared parameters'!$A$2:$A$200,
                       MATCH($A52,'Shared parameters'!$B$2:$B$200,0)
                ),
                'Data Entry'!$A$2:$B$200,
                2,
                FALSE
            )
        ),
        VLOOKUP(
            INDEX('Shared parameters'!$A$2:$A$200,
                   MATCH($A52,'Shared parameters'!$B$2:$B$200,0)
            ),
            'Data Entry'!$A$2:$B$200,
            2,
            FALSE
        ),
        """" &amp;
        VLOOKUP(
            INDEX('Shared parameters'!$A$2:$A$200,
                   MATCH($A52,'Shared parameters'!$B$2:$B$200,0)
            ),
            'Data Entry'!$A$2:$B$200,
            2,
            FALSE
        ) &amp;
        """"
    ),
"")</f>
        <v>"Yes"</v>
      </c>
    </row>
    <row r="53" spans="1:4" ht="57.6" x14ac:dyDescent="0.3">
      <c r="A53" s="53" t="str">
        <f>INDEX(SharedParams[Name],ROW(B52))</f>
        <v>DPP_END_EPD_URL</v>
      </c>
      <c r="B53" s="53" t="str">
        <f>IFERROR(
   VLOOKUP(
      INDEX('Manual workflow'!$B$2:$B$200,
             MATCH($A53,'Manual workflow'!$A$2:$A$200,0)
      ),
      'Built In Parameter groups'!$A$2:$C$200,
      3,
      FALSE
   ),
"")</f>
        <v>PG_GREEN_PROPERTIES</v>
      </c>
      <c r="C53" s="53" t="str">
        <f>IFERROR(
   IF(
      VLOOKUP(
         INDEX('Shared parameters'!$A$2:$A$200,
                MATCH($A53,'Shared parameters'!$B$2:$B$200,0)
         ),
         'Parameter Categories'!$B$2:$G$200,
         6,
         FALSE
      )="x",
      "No",
      IF(
         VLOOKUP(
            INDEX('Shared parameters'!$A$2:$A$200,
                   MATCH($A53,'Shared parameters'!$B$2:$B$200,0)
            ),
            'Parameter Categories'!$B$2:$G$200,
            5,
            FALSE
         )="x",
         "Yes",
         ""
      )
   ),
"")</f>
        <v>No</v>
      </c>
      <c r="D53" s="55" t="str">
        <f>IFERROR(
    IF(
        ISNUMBER(
            VLOOKUP(
                INDEX('Shared parameters'!$A$2:$A$200,
                       MATCH($A53,'Shared parameters'!$B$2:$B$200,0)
                ),
                'Data Entry'!$A$2:$B$200,
                2,
                FALSE
            )
        ),
        VLOOKUP(
            INDEX('Shared parameters'!$A$2:$A$200,
                   MATCH($A53,'Shared parameters'!$B$2:$B$200,0)
            ),
            'Data Entry'!$A$2:$B$200,
            2,
            FALSE
        ),
        """" &amp;
        VLOOKUP(
            INDEX('Shared parameters'!$A$2:$A$200,
                   MATCH($A53,'Shared parameters'!$B$2:$B$200,0)
            ),
            'Data Entry'!$A$2:$B$200,
            2,
            FALSE
        ) &amp;
        """"
    ),
"")</f>
        <v>"https://www.bau-epd.at/epd/data/schoenthaler-bausteinwerk-gmbh-hanfsteine-ecoinvent-2025"</v>
      </c>
    </row>
    <row r="54" spans="1:4" x14ac:dyDescent="0.3">
      <c r="A54" s="53" t="str">
        <f>INDEX(SharedParams[Name],ROW(B53))</f>
        <v>DPP_END_GWP_kgCO₂eq</v>
      </c>
      <c r="B54" s="53" t="str">
        <f>IFERROR(
   VLOOKUP(
      INDEX('Manual workflow'!$B$2:$B$200,
             MATCH($A54,'Manual workflow'!$A$2:$A$200,0)
      ),
      'Built In Parameter groups'!$A$2:$C$200,
      3,
      FALSE
   ),
"")</f>
        <v>PG_GREEN_PROPERTIES</v>
      </c>
      <c r="C54" s="53" t="str">
        <f>IFERROR(
   IF(
      VLOOKUP(
         INDEX('Shared parameters'!$A$2:$A$200,
                MATCH($A54,'Shared parameters'!$B$2:$B$200,0)
         ),
         'Parameter Categories'!$B$2:$G$200,
         6,
         FALSE
      )="x",
      "No",
      IF(
         VLOOKUP(
            INDEX('Shared parameters'!$A$2:$A$200,
                   MATCH($A54,'Shared parameters'!$B$2:$B$200,0)
            ),
            'Parameter Categories'!$B$2:$G$200,
            5,
            FALSE
         )="x",
         "Yes",
         ""
      )
   ),
"")</f>
        <v>No</v>
      </c>
      <c r="D54" s="55">
        <f>IFERROR(
    IF(
        ISNUMBER(
            VLOOKUP(
                INDEX('Shared parameters'!$A$2:$A$200,
                       MATCH($A54,'Shared parameters'!$B$2:$B$200,0)
                ),
                'Data Entry'!$A$2:$B$200,
                2,
                FALSE
            )
        ),
        VLOOKUP(
            INDEX('Shared parameters'!$A$2:$A$200,
                   MATCH($A54,'Shared parameters'!$B$2:$B$200,0)
            ),
            'Data Entry'!$A$2:$B$200,
            2,
            FALSE
        ),
        """" &amp;
        VLOOKUP(
            INDEX('Shared parameters'!$A$2:$A$200,
                   MATCH($A54,'Shared parameters'!$B$2:$B$200,0)
            ),
            'Data Entry'!$A$2:$B$200,
            2,
            FALSE
        ) &amp;
        """"
    ),
"")</f>
        <v>1.3392000000000002</v>
      </c>
    </row>
    <row r="55" spans="1:4" x14ac:dyDescent="0.3">
      <c r="A55" s="53" t="str">
        <f>INDEX(SharedParams[Name],ROW(B54))</f>
        <v>DPP_END_PEI_MJKg</v>
      </c>
      <c r="B55" s="53" t="str">
        <f>IFERROR(
   VLOOKUP(
      INDEX('Manual workflow'!$B$2:$B$200,
             MATCH($A55,'Manual workflow'!$A$2:$A$200,0)
      ),
      'Built In Parameter groups'!$A$2:$C$200,
      3,
      FALSE
   ),
"")</f>
        <v>PG_GREEN_PROPERTIES</v>
      </c>
      <c r="C55" s="53" t="str">
        <f>IFERROR(
   IF(
      VLOOKUP(
         INDEX('Shared parameters'!$A$2:$A$200,
                MATCH($A55,'Shared parameters'!$B$2:$B$200,0)
         ),
         'Parameter Categories'!$B$2:$G$200,
         6,
         FALSE
      )="x",
      "No",
      IF(
         VLOOKUP(
            INDEX('Shared parameters'!$A$2:$A$200,
                   MATCH($A55,'Shared parameters'!$B$2:$B$200,0)
            ),
            'Parameter Categories'!$B$2:$G$200,
            5,
            FALSE
         )="x",
         "Yes",
         ""
      )
   ),
"")</f>
        <v>No</v>
      </c>
      <c r="D55" s="55" t="str">
        <f>IFERROR(
    IF(
        ISNUMBER(
            VLOOKUP(
                INDEX('Shared parameters'!$A$2:$A$200,
                       MATCH($A55,'Shared parameters'!$B$2:$B$200,0)
                ),
                'Data Entry'!$A$2:$B$200,
                2,
                FALSE
            )
        ),
        VLOOKUP(
            INDEX('Shared parameters'!$A$2:$A$200,
                   MATCH($A55,'Shared parameters'!$B$2:$B$200,0)
            ),
            'Data Entry'!$A$2:$B$200,
            2,
            FALSE
        ),
        """" &amp;
        VLOOKUP(
            INDEX('Shared parameters'!$A$2:$A$200,
                   MATCH($A55,'Shared parameters'!$B$2:$B$200,0)
            ),
            'Data Entry'!$A$2:$B$200,
            2,
            FALSE
        ) &amp;
        """"
    ),
"")</f>
        <v>""</v>
      </c>
    </row>
    <row r="56" spans="1:4" x14ac:dyDescent="0.3">
      <c r="A56" s="53" t="str">
        <f>INDEX(SharedParams[Name],ROW(B55))</f>
        <v>DPP_END_PERT_MJKg</v>
      </c>
      <c r="B56" s="53" t="str">
        <f>IFERROR(
   VLOOKUP(
      INDEX('Manual workflow'!$B$2:$B$200,
             MATCH($A56,'Manual workflow'!$A$2:$A$200,0)
      ),
      'Built In Parameter groups'!$A$2:$C$200,
      3,
      FALSE
   ),
"")</f>
        <v>PG_GREEN_PROPERTIES</v>
      </c>
      <c r="C56" s="53" t="str">
        <f>IFERROR(
   IF(
      VLOOKUP(
         INDEX('Shared parameters'!$A$2:$A$200,
                MATCH($A56,'Shared parameters'!$B$2:$B$200,0)
         ),
         'Parameter Categories'!$B$2:$G$200,
         6,
         FALSE
      )="x",
      "No",
      IF(
         VLOOKUP(
            INDEX('Shared parameters'!$A$2:$A$200,
                   MATCH($A56,'Shared parameters'!$B$2:$B$200,0)
            ),
            'Parameter Categories'!$B$2:$G$200,
            5,
            FALSE
         )="x",
         "Yes",
         ""
      )
   ),
"")</f>
        <v>No</v>
      </c>
      <c r="D56" s="55">
        <f>IFERROR(
    IF(
        ISNUMBER(
            VLOOKUP(
                INDEX('Shared parameters'!$A$2:$A$200,
                       MATCH($A56,'Shared parameters'!$B$2:$B$200,0)
                ),
                'Data Entry'!$A$2:$B$200,
                2,
                FALSE
            )
        ),
        VLOOKUP(
            INDEX('Shared parameters'!$A$2:$A$200,
                   MATCH($A56,'Shared parameters'!$B$2:$B$200,0)
            ),
            'Data Entry'!$A$2:$B$200,
            2,
            FALSE
        ),
        """" &amp;
        VLOOKUP(
            INDEX('Shared parameters'!$A$2:$A$200,
                   MATCH($A56,'Shared parameters'!$B$2:$B$200,0)
            ),
            'Data Entry'!$A$2:$B$200,
            2,
            FALSE
        ) &amp;
        """"
    ),
"")</f>
        <v>18.408720000000002</v>
      </c>
    </row>
    <row r="57" spans="1:4" x14ac:dyDescent="0.3">
      <c r="A57" s="53" t="str">
        <f>INDEX(SharedParams[Name],ROW(B56))</f>
        <v>DPP_END_PENRT_MJKg</v>
      </c>
      <c r="B57" s="53" t="str">
        <f>IFERROR(
   VLOOKUP(
      INDEX('Manual workflow'!$B$2:$B$200,
             MATCH($A57,'Manual workflow'!$A$2:$A$200,0)
      ),
      'Built In Parameter groups'!$A$2:$C$200,
      3,
      FALSE
   ),
"")</f>
        <v>PG_GREEN_PROPERTIES</v>
      </c>
      <c r="C57" s="53" t="str">
        <f>IFERROR(
   IF(
      VLOOKUP(
         INDEX('Shared parameters'!$A$2:$A$200,
                MATCH($A57,'Shared parameters'!$B$2:$B$200,0)
         ),
         'Parameter Categories'!$B$2:$G$200,
         6,
         FALSE
      )="x",
      "No",
      IF(
         VLOOKUP(
            INDEX('Shared parameters'!$A$2:$A$200,
                   MATCH($A57,'Shared parameters'!$B$2:$B$200,0)
            ),
            'Parameter Categories'!$B$2:$G$200,
            5,
            FALSE
         )="x",
         "Yes",
         ""
      )
   ),
"")</f>
        <v>No</v>
      </c>
      <c r="D57" s="55">
        <f>IFERROR(
    IF(
        ISNUMBER(
            VLOOKUP(
                INDEX('Shared parameters'!$A$2:$A$200,
                       MATCH($A57,'Shared parameters'!$B$2:$B$200,0)
                ),
                'Data Entry'!$A$2:$B$200,
                2,
                FALSE
            )
        ),
        VLOOKUP(
            INDEX('Shared parameters'!$A$2:$A$200,
                   MATCH($A57,'Shared parameters'!$B$2:$B$200,0)
            ),
            'Data Entry'!$A$2:$B$200,
            2,
            FALSE
        ),
        """" &amp;
        VLOOKUP(
            INDEX('Shared parameters'!$A$2:$A$200,
                   MATCH($A57,'Shared parameters'!$B$2:$B$200,0)
            ),
            'Data Entry'!$A$2:$B$200,
            2,
            FALSE
        ) &amp;
        """"
    ),
"")</f>
        <v>17.026880000000002</v>
      </c>
    </row>
    <row r="58" spans="1:4" x14ac:dyDescent="0.3">
      <c r="A58" s="53" t="str">
        <f>INDEX(SharedParams[Name],ROW(B57))</f>
        <v>DPP_END_AP_kgSO₂eq</v>
      </c>
      <c r="B58" s="53" t="str">
        <f>IFERROR(
   VLOOKUP(
      INDEX('Manual workflow'!$B$2:$B$200,
             MATCH($A58,'Manual workflow'!$A$2:$A$200,0)
      ),
      'Built In Parameter groups'!$A$2:$C$200,
      3,
      FALSE
   ),
"")</f>
        <v>PG_GREEN_PROPERTIES</v>
      </c>
      <c r="C58" s="53" t="str">
        <f>IFERROR(
   IF(
      VLOOKUP(
         INDEX('Shared parameters'!$A$2:$A$200,
                MATCH($A58,'Shared parameters'!$B$2:$B$200,0)
         ),
         'Parameter Categories'!$B$2:$G$200,
         6,
         FALSE
      )="x",
      "No",
      IF(
         VLOOKUP(
            INDEX('Shared parameters'!$A$2:$A$200,
                   MATCH($A58,'Shared parameters'!$B$2:$B$200,0)
            ),
            'Parameter Categories'!$B$2:$G$200,
            5,
            FALSE
         )="x",
         "Yes",
         ""
      )
   ),
"")</f>
        <v>No</v>
      </c>
      <c r="D58" s="55">
        <f>IFERROR(
    IF(
        ISNUMBER(
            VLOOKUP(
                INDEX('Shared parameters'!$A$2:$A$200,
                       MATCH($A58,'Shared parameters'!$B$2:$B$200,0)
                ),
                'Data Entry'!$A$2:$B$200,
                2,
                FALSE
            )
        ),
        VLOOKUP(
            INDEX('Shared parameters'!$A$2:$A$200,
                   MATCH($A58,'Shared parameters'!$B$2:$B$200,0)
            ),
            'Data Entry'!$A$2:$B$200,
            2,
            FALSE
        ),
        """" &amp;
        VLOOKUP(
            INDEX('Shared parameters'!$A$2:$A$200,
                   MATCH($A58,'Shared parameters'!$B$2:$B$200,0)
            ),
            'Data Entry'!$A$2:$B$200,
            2,
            FALSE
        ) &amp;
        """"
    ),
"")</f>
        <v>2.4935000000000002E-4</v>
      </c>
    </row>
    <row r="59" spans="1:4" x14ac:dyDescent="0.3">
      <c r="A59" s="53" t="str">
        <f>INDEX(SharedParams[Name],ROW(B58))</f>
        <v>DPP_END_EmbodiedCarbon_kgCO₂eq</v>
      </c>
      <c r="B59" s="53" t="str">
        <f>IFERROR(
   VLOOKUP(
      INDEX('Manual workflow'!$B$2:$B$200,
             MATCH($A59,'Manual workflow'!$A$2:$A$200,0)
      ),
      'Built In Parameter groups'!$A$2:$C$200,
      3,
      FALSE
   ),
"")</f>
        <v>PG_GREEN_PROPERTIES</v>
      </c>
      <c r="C59" s="53" t="str">
        <f>IFERROR(
   IF(
      VLOOKUP(
         INDEX('Shared parameters'!$A$2:$A$200,
                MATCH($A59,'Shared parameters'!$B$2:$B$200,0)
         ),
         'Parameter Categories'!$B$2:$G$200,
         6,
         FALSE
      )="x",
      "No",
      IF(
         VLOOKUP(
            INDEX('Shared parameters'!$A$2:$A$200,
                   MATCH($A59,'Shared parameters'!$B$2:$B$200,0)
            ),
            'Parameter Categories'!$B$2:$G$200,
            5,
            FALSE
         )="x",
         "Yes",
         ""
      )
   ),
"")</f>
        <v>No</v>
      </c>
      <c r="D59" s="55">
        <f>IFERROR(
    IF(
        ISNUMBER(
            VLOOKUP(
                INDEX('Shared parameters'!$A$2:$A$200,
                       MATCH($A59,'Shared parameters'!$B$2:$B$200,0)
                ),
                'Data Entry'!$A$2:$B$200,
                2,
                FALSE
            )
        ),
        VLOOKUP(
            INDEX('Shared parameters'!$A$2:$A$200,
                   MATCH($A59,'Shared parameters'!$B$2:$B$200,0)
            ),
            'Data Entry'!$A$2:$B$200,
            2,
            FALSE
        ),
        """" &amp;
        VLOOKUP(
            INDEX('Shared parameters'!$A$2:$A$200,
                   MATCH($A59,'Shared parameters'!$B$2:$B$200,0)
            ),
            'Data Entry'!$A$2:$B$200,
            2,
            FALSE
        ) &amp;
        """"
    ),
"")</f>
        <v>-1.744</v>
      </c>
    </row>
    <row r="60" spans="1:4" x14ac:dyDescent="0.3">
      <c r="A60" s="53" t="str">
        <f>INDEX(SharedParams[Name],ROW(B59))</f>
        <v>DPP_END_BiogenicCarbon_kgCO₂eq</v>
      </c>
      <c r="B60" s="53" t="str">
        <f>IFERROR(
   VLOOKUP(
      INDEX('Manual workflow'!$B$2:$B$200,
             MATCH($A60,'Manual workflow'!$A$2:$A$200,0)
      ),
      'Built In Parameter groups'!$A$2:$C$200,
      3,
      FALSE
   ),
"")</f>
        <v>PG_GREEN_PROPERTIES</v>
      </c>
      <c r="C60" s="53" t="str">
        <f>IFERROR(
   IF(
      VLOOKUP(
         INDEX('Shared parameters'!$A$2:$A$200,
                MATCH($A60,'Shared parameters'!$B$2:$B$200,0)
         ),
         'Parameter Categories'!$B$2:$G$200,
         6,
         FALSE
      )="x",
      "No",
      IF(
         VLOOKUP(
            INDEX('Shared parameters'!$A$2:$A$200,
                   MATCH($A60,'Shared parameters'!$B$2:$B$200,0)
            ),
            'Parameter Categories'!$B$2:$G$200,
            5,
            FALSE
         )="x",
         "Yes",
         ""
      )
   ),
"")</f>
        <v>No</v>
      </c>
      <c r="D60" s="55">
        <f>IFERROR(
    IF(
        ISNUMBER(
            VLOOKUP(
                INDEX('Shared parameters'!$A$2:$A$200,
                       MATCH($A60,'Shared parameters'!$B$2:$B$200,0)
                ),
                'Data Entry'!$A$2:$B$200,
                2,
                FALSE
            )
        ),
        VLOOKUP(
            INDEX('Shared parameters'!$A$2:$A$200,
                   MATCH($A60,'Shared parameters'!$B$2:$B$200,0)
            ),
            'Data Entry'!$A$2:$B$200,
            2,
            FALSE
        ),
        """" &amp;
        VLOOKUP(
            INDEX('Shared parameters'!$A$2:$A$200,
                   MATCH($A60,'Shared parameters'!$B$2:$B$200,0)
            ),
            'Data Entry'!$A$2:$B$200,
            2,
            FALSE
        ) &amp;
        """"
    ),
"")</f>
        <v>0.44880000000000003</v>
      </c>
    </row>
    <row r="61" spans="1:4" x14ac:dyDescent="0.3">
      <c r="A61" s="53" t="str">
        <f>INDEX(SharedParams[Name],ROW(B60))</f>
        <v>DPP_END_EndoflifeEmissions_kgCO₂eq</v>
      </c>
      <c r="B61" s="53" t="str">
        <f>IFERROR(
   VLOOKUP(
      INDEX('Manual workflow'!$B$2:$B$200,
             MATCH($A61,'Manual workflow'!$A$2:$A$200,0)
      ),
      'Built In Parameter groups'!$A$2:$C$200,
      3,
      FALSE
   ),
"")</f>
        <v>PG_GREEN_PROPERTIES</v>
      </c>
      <c r="C61" s="53" t="str">
        <f>IFERROR(
   IF(
      VLOOKUP(
         INDEX('Shared parameters'!$A$2:$A$200,
                MATCH($A61,'Shared parameters'!$B$2:$B$200,0)
         ),
         'Parameter Categories'!$B$2:$G$200,
         6,
         FALSE
      )="x",
      "No",
      IF(
         VLOOKUP(
            INDEX('Shared parameters'!$A$2:$A$200,
                   MATCH($A61,'Shared parameters'!$B$2:$B$200,0)
            ),
            'Parameter Categories'!$B$2:$G$200,
            5,
            FALSE
         )="x",
         "Yes",
         ""
      )
   ),
"")</f>
        <v>No</v>
      </c>
      <c r="D61" s="55">
        <f>IFERROR(
    IF(
        ISNUMBER(
            VLOOKUP(
                INDEX('Shared parameters'!$A$2:$A$200,
                       MATCH($A61,'Shared parameters'!$B$2:$B$200,0)
                ),
                'Data Entry'!$A$2:$B$200,
                2,
                FALSE
            )
        ),
        VLOOKUP(
            INDEX('Shared parameters'!$A$2:$A$200,
                   MATCH($A61,'Shared parameters'!$B$2:$B$200,0)
            ),
            'Data Entry'!$A$2:$B$200,
            2,
            FALSE
        ),
        """" &amp;
        VLOOKUP(
            INDEX('Shared parameters'!$A$2:$A$200,
                   MATCH($A61,'Shared parameters'!$B$2:$B$200,0)
            ),
            'Data Entry'!$A$2:$B$200,
            2,
            FALSE
        ) &amp;
        """"
    ),
"")</f>
        <v>1.7772000000000001</v>
      </c>
    </row>
    <row r="62" spans="1:4" x14ac:dyDescent="0.3">
      <c r="A62" s="53" t="str">
        <f>INDEX(SharedParams[Name],ROW(B61))</f>
        <v>DPP_CIR_CircularityIndex</v>
      </c>
      <c r="B62" s="53" t="str">
        <f>IFERROR(
   VLOOKUP(
      INDEX('Manual workflow'!$B$2:$B$200,
             MATCH($A62,'Manual workflow'!$A$2:$A$200,0)
      ),
      'Built In Parameter groups'!$A$2:$C$200,
      3,
      FALSE
   ),
"")</f>
        <v>PG_GREEN_PROPERTIES</v>
      </c>
      <c r="C62" s="53" t="str">
        <f>IFERROR(
   IF(
      VLOOKUP(
         INDEX('Shared parameters'!$A$2:$A$200,
                MATCH($A62,'Shared parameters'!$B$2:$B$200,0)
         ),
         'Parameter Categories'!$B$2:$G$200,
         6,
         FALSE
      )="x",
      "No",
      IF(
         VLOOKUP(
            INDEX('Shared parameters'!$A$2:$A$200,
                   MATCH($A62,'Shared parameters'!$B$2:$B$200,0)
            ),
            'Parameter Categories'!$B$2:$G$200,
            5,
            FALSE
         )="x",
         "Yes",
         ""
      )
   ),
"")</f>
        <v>No</v>
      </c>
      <c r="D62" s="55">
        <f>IFERROR(
    IF(
        ISNUMBER(
            VLOOKUP(
                INDEX('Shared parameters'!$A$2:$A$200,
                       MATCH($A62,'Shared parameters'!$B$2:$B$200,0)
                ),
                'Data Entry'!$A$2:$B$200,
                2,
                FALSE
            )
        ),
        VLOOKUP(
            INDEX('Shared parameters'!$A$2:$A$200,
                   MATCH($A62,'Shared parameters'!$B$2:$B$200,0)
            ),
            'Data Entry'!$A$2:$B$200,
            2,
            FALSE
        ),
        """" &amp;
        VLOOKUP(
            INDEX('Shared parameters'!$A$2:$A$200,
                   MATCH($A62,'Shared parameters'!$B$2:$B$200,0)
            ),
            'Data Entry'!$A$2:$B$200,
            2,
            FALSE
        ) &amp;
        """"
    ),
"")</f>
        <v>70</v>
      </c>
    </row>
    <row r="63" spans="1:4" x14ac:dyDescent="0.3">
      <c r="A63" s="53" t="str">
        <f>INDEX(SharedParams[Name],ROW(B62))</f>
        <v>DPP_END_Ei</v>
      </c>
      <c r="B63" s="53" t="str">
        <f>IFERROR(
   VLOOKUP(
      INDEX('Manual workflow'!$B$2:$B$200,
             MATCH($A63,'Manual workflow'!$A$2:$A$200,0)
      ),
      'Built In Parameter groups'!$A$2:$C$200,
      3,
      FALSE
   ),
"")</f>
        <v>PG_GREEN_PROPERTIES</v>
      </c>
      <c r="C63" s="53" t="str">
        <f>IFERROR(
   IF(
      VLOOKUP(
         INDEX('Shared parameters'!$A$2:$A$200,
                MATCH($A63,'Shared parameters'!$B$2:$B$200,0)
         ),
         'Parameter Categories'!$B$2:$G$200,
         6,
         FALSE
      )="x",
      "No",
      IF(
         VLOOKUP(
            INDEX('Shared parameters'!$A$2:$A$200,
                   MATCH($A63,'Shared parameters'!$B$2:$B$200,0)
            ),
            'Parameter Categories'!$B$2:$G$200,
            5,
            FALSE
         )="x",
         "Yes",
         ""
      )
   ),
"")</f>
        <v>No</v>
      </c>
      <c r="D63" s="55">
        <f>IFERROR(
    IF(
        ISNUMBER(
            VLOOKUP(
                INDEX('Shared parameters'!$A$2:$A$200,
                       MATCH($A63,'Shared parameters'!$B$2:$B$200,0)
                ),
                'Data Entry'!$A$2:$B$200,
                2,
                FALSE
            )
        ),
        VLOOKUP(
            INDEX('Shared parameters'!$A$2:$A$200,
                   MATCH($A63,'Shared parameters'!$B$2:$B$200,0)
            ),
            'Data Entry'!$A$2:$B$200,
            2,
            FALSE
        ),
        """" &amp;
        VLOOKUP(
            INDEX('Shared parameters'!$A$2:$A$200,
                   MATCH($A63,'Shared parameters'!$B$2:$B$200,0)
            ),
            'Data Entry'!$A$2:$B$200,
            2,
            FALSE
        ) &amp;
        """"
    ),
"")</f>
        <v>0.99199999999999999</v>
      </c>
    </row>
    <row r="64" spans="1:4" x14ac:dyDescent="0.3">
      <c r="A64" s="53" t="str">
        <f>INDEX(SharedParams[Name],ROW(B63))</f>
        <v>DPP_END_w</v>
      </c>
      <c r="B64" s="53" t="str">
        <f>IFERROR(
   VLOOKUP(
      INDEX('Manual workflow'!$B$2:$B$200,
             MATCH($A64,'Manual workflow'!$A$2:$A$200,0)
      ),
      'Built In Parameter groups'!$A$2:$C$200,
      3,
      FALSE
   ),
"")</f>
        <v>PG_GREEN_PROPERTIES</v>
      </c>
      <c r="C64" s="53" t="str">
        <f>IFERROR(
   IF(
      VLOOKUP(
         INDEX('Shared parameters'!$A$2:$A$200,
                MATCH($A64,'Shared parameters'!$B$2:$B$200,0)
         ),
         'Parameter Categories'!$B$2:$G$200,
         6,
         FALSE
      )="x",
      "No",
      IF(
         VLOOKUP(
            INDEX('Shared parameters'!$A$2:$A$200,
                   MATCH($A64,'Shared parameters'!$B$2:$B$200,0)
            ),
            'Parameter Categories'!$B$2:$G$200,
            5,
            FALSE
         )="x",
         "Yes",
         ""
      )
   ),
"")</f>
        <v>No</v>
      </c>
      <c r="D64" s="55">
        <f>IFERROR(
    IF(
        ISNUMBER(
            VLOOKUP(
                INDEX('Shared parameters'!$A$2:$A$200,
                       MATCH($A64,'Shared parameters'!$B$2:$B$200,0)
                ),
                'Data Entry'!$A$2:$B$200,
                2,
                FALSE
            )
        ),
        VLOOKUP(
            INDEX('Shared parameters'!$A$2:$A$200,
                   MATCH($A64,'Shared parameters'!$B$2:$B$200,0)
            ),
            'Data Entry'!$A$2:$B$200,
            2,
            FALSE
        ),
        """" &amp;
        VLOOKUP(
            INDEX('Shared parameters'!$A$2:$A$200,
                   MATCH($A64,'Shared parameters'!$B$2:$B$200,0)
            ),
            'Data Entry'!$A$2:$B$200,
            2,
            FALSE
        ) &amp;
        """"
    ),
"")</f>
        <v>0.75</v>
      </c>
    </row>
    <row r="65" spans="1:4" x14ac:dyDescent="0.3">
      <c r="A65" s="53" t="str">
        <f>INDEX(SharedParams[Name],ROW(B64))</f>
        <v>DPP_END_EnvironmentalScore</v>
      </c>
      <c r="B65" s="53" t="str">
        <f>IFERROR(
   VLOOKUP(
      INDEX('Manual workflow'!$B$2:$B$200,
             MATCH($A65,'Manual workflow'!$A$2:$A$200,0)
      ),
      'Built In Parameter groups'!$A$2:$C$200,
      3,
      FALSE
   ),
"")</f>
        <v>PG_GREEN_PROPERTIES</v>
      </c>
      <c r="C65" s="53" t="str">
        <f>IFERROR(
   IF(
      VLOOKUP(
         INDEX('Shared parameters'!$A$2:$A$200,
                MATCH($A65,'Shared parameters'!$B$2:$B$200,0)
         ),
         'Parameter Categories'!$B$2:$G$200,
         6,
         FALSE
      )="x",
      "No",
      IF(
         VLOOKUP(
            INDEX('Shared parameters'!$A$2:$A$200,
                   MATCH($A65,'Shared parameters'!$B$2:$B$200,0)
            ),
            'Parameter Categories'!$B$2:$G$200,
            5,
            FALSE
         )="x",
         "Yes",
         ""
      )
   ),
"")</f>
        <v>No</v>
      </c>
      <c r="D65" s="55">
        <f>IFERROR(
    IF(
        ISNUMBER(
            VLOOKUP(
                INDEX('Shared parameters'!$A$2:$A$200,
                       MATCH($A65,'Shared parameters'!$B$2:$B$200,0)
                ),
                'Data Entry'!$A$2:$B$200,
                2,
                FALSE
            )
        ),
        VLOOKUP(
            INDEX('Shared parameters'!$A$2:$A$200,
                   MATCH($A65,'Shared parameters'!$B$2:$B$200,0)
            ),
            'Data Entry'!$A$2:$B$200,
            2,
            FALSE
        ),
        """" &amp;
        VLOOKUP(
            INDEX('Shared parameters'!$A$2:$A$200,
                   MATCH($A65,'Shared parameters'!$B$2:$B$200,0)
            ),
            'Data Entry'!$A$2:$B$200,
            2,
            FALSE
        ) &amp;
        """"
    ),
"")</f>
        <v>0.74399999999999999</v>
      </c>
    </row>
    <row r="66" spans="1:4" x14ac:dyDescent="0.3">
      <c r="A66" s="53" t="str">
        <f>INDEX(SharedParams[Name],ROW(B65))</f>
        <v>DPP_TMP_ServiceLife_years</v>
      </c>
      <c r="B66" s="53" t="str">
        <f>IFERROR(
   VLOOKUP(
      INDEX('Manual workflow'!$B$2:$B$200,
             MATCH($A66,'Manual workflow'!$A$2:$A$200,0)
      ),
      'Built In Parameter groups'!$A$2:$C$200,
      3,
      FALSE
   ),
"")</f>
        <v>PG_IDENTITY_DATA</v>
      </c>
      <c r="C66" s="53" t="str">
        <f>IFERROR(
   IF(
      VLOOKUP(
         INDEX('Shared parameters'!$A$2:$A$200,
                MATCH($A66,'Shared parameters'!$B$2:$B$200,0)
         ),
         'Parameter Categories'!$B$2:$G$200,
         6,
         FALSE
      )="x",
      "No",
      IF(
         VLOOKUP(
            INDEX('Shared parameters'!$A$2:$A$200,
                   MATCH($A66,'Shared parameters'!$B$2:$B$200,0)
            ),
            'Parameter Categories'!$B$2:$G$200,
            5,
            FALSE
         )="x",
         "Yes",
         ""
      )
   ),
"")</f>
        <v>No</v>
      </c>
      <c r="D66" s="55">
        <f>IFERROR(
    IF(
        ISNUMBER(
            VLOOKUP(
                INDEX('Shared parameters'!$A$2:$A$200,
                       MATCH($A66,'Shared parameters'!$B$2:$B$200,0)
                ),
                'Data Entry'!$A$2:$B$200,
                2,
                FALSE
            )
        ),
        VLOOKUP(
            INDEX('Shared parameters'!$A$2:$A$200,
                   MATCH($A66,'Shared parameters'!$B$2:$B$200,0)
            ),
            'Data Entry'!$A$2:$B$200,
            2,
            FALSE
        ),
        """" &amp;
        VLOOKUP(
            INDEX('Shared parameters'!$A$2:$A$200,
                   MATCH($A66,'Shared parameters'!$B$2:$B$200,0)
            ),
            'Data Entry'!$A$2:$B$200,
            2,
            FALSE
        ) &amp;
        """"
    ),
"")</f>
        <v>100</v>
      </c>
    </row>
    <row r="67" spans="1:4" x14ac:dyDescent="0.3">
      <c r="A67" s="53" t="str">
        <f>INDEX(SharedParams[Name],ROW(B66))</f>
        <v>DPP_TMP_Manteinance</v>
      </c>
      <c r="B67" s="53" t="str">
        <f>IFERROR(
   VLOOKUP(
      INDEX('Manual workflow'!$B$2:$B$200,
             MATCH($A67,'Manual workflow'!$A$2:$A$200,0)
      ),
      'Built In Parameter groups'!$A$2:$C$200,
      3,
      FALSE
   ),
"")</f>
        <v>PG_IDENTITY_DATA</v>
      </c>
      <c r="C67" s="53" t="str">
        <f>IFERROR(
   IF(
      VLOOKUP(
         INDEX('Shared parameters'!$A$2:$A$200,
                MATCH($A67,'Shared parameters'!$B$2:$B$200,0)
         ),
         'Parameter Categories'!$B$2:$G$200,
         6,
         FALSE
      )="x",
      "No",
      IF(
         VLOOKUP(
            INDEX('Shared parameters'!$A$2:$A$200,
                   MATCH($A67,'Shared parameters'!$B$2:$B$200,0)
            ),
            'Parameter Categories'!$B$2:$G$200,
            5,
            FALSE
         )="x",
         "Yes",
         ""
      )
   ),
"")</f>
        <v>Yes</v>
      </c>
      <c r="D67" s="55" t="str">
        <f>IFERROR(
    IF(
        ISNUMBER(
            VLOOKUP(
                INDEX('Shared parameters'!$A$2:$A$200,
                       MATCH($A67,'Shared parameters'!$B$2:$B$200,0)
                ),
                'Data Entry'!$A$2:$B$200,
                2,
                FALSE
            )
        ),
        VLOOKUP(
            INDEX('Shared parameters'!$A$2:$A$200,
                   MATCH($A67,'Shared parameters'!$B$2:$B$200,0)
            ),
            'Data Entry'!$A$2:$B$200,
            2,
            FALSE
        ),
        """" &amp;
        VLOOKUP(
            INDEX('Shared parameters'!$A$2:$A$200,
                   MATCH($A67,'Shared parameters'!$B$2:$B$200,0)
            ),
            'Data Entry'!$A$2:$B$200,
            2,
            FALSE
        ) &amp;
        """"
    ),
"")</f>
        <v>""</v>
      </c>
    </row>
    <row r="68" spans="1:4" x14ac:dyDescent="0.3">
      <c r="A68" s="53" t="str">
        <f>INDEX(SharedParams[Name],ROW(B67))</f>
        <v>DPP_TMP_Soursing_km</v>
      </c>
      <c r="B68" s="53" t="str">
        <f>IFERROR(
   VLOOKUP(
      INDEX('Manual workflow'!$B$2:$B$200,
             MATCH($A68,'Manual workflow'!$A$2:$A$200,0)
      ),
      'Built In Parameter groups'!$A$2:$C$200,
      3,
      FALSE
   ),
"")</f>
        <v>PG_IDENTITY_DATA</v>
      </c>
      <c r="C68" s="53" t="str">
        <f>IFERROR(
   IF(
      VLOOKUP(
         INDEX('Shared parameters'!$A$2:$A$200,
                MATCH($A68,'Shared parameters'!$B$2:$B$200,0)
         ),
         'Parameter Categories'!$B$2:$G$200,
         6,
         FALSE
      )="x",
      "No",
      IF(
         VLOOKUP(
            INDEX('Shared parameters'!$A$2:$A$200,
                   MATCH($A68,'Shared parameters'!$B$2:$B$200,0)
            ),
            'Parameter Categories'!$B$2:$G$200,
            5,
            FALSE
         )="x",
         "Yes",
         ""
      )
   ),
"")</f>
        <v>No</v>
      </c>
      <c r="D68" s="55" t="str">
        <f>IFERROR(
    IF(
        ISNUMBER(
            VLOOKUP(
                INDEX('Shared parameters'!$A$2:$A$200,
                       MATCH($A68,'Shared parameters'!$B$2:$B$200,0)
                ),
                'Data Entry'!$A$2:$B$200,
                2,
                FALSE
            )
        ),
        VLOOKUP(
            INDEX('Shared parameters'!$A$2:$A$200,
                   MATCH($A68,'Shared parameters'!$B$2:$B$200,0)
            ),
            'Data Entry'!$A$2:$B$200,
            2,
            FALSE
        ),
        """" &amp;
        VLOOKUP(
            INDEX('Shared parameters'!$A$2:$A$200,
                   MATCH($A68,'Shared parameters'!$B$2:$B$200,0)
            ),
            'Data Entry'!$A$2:$B$200,
            2,
            FALSE
        ) &amp;
        """"
    ),
"")</f>
        <v>"&lt;500"</v>
      </c>
    </row>
    <row r="69" spans="1:4" x14ac:dyDescent="0.3">
      <c r="A69" s="53" t="str">
        <f>INDEX(SharedParams[Name],ROW(B68))</f>
        <v>DPP_TMP_Warranty</v>
      </c>
      <c r="B69" s="53" t="str">
        <f>IFERROR(
   VLOOKUP(
      INDEX('Manual workflow'!$B$2:$B$200,
             MATCH($A69,'Manual workflow'!$A$2:$A$200,0)
      ),
      'Built In Parameter groups'!$A$2:$C$200,
      3,
      FALSE
   ),
"")</f>
        <v>PG_IDENTITY_DATA</v>
      </c>
      <c r="C69" s="53" t="str">
        <f>IFERROR(
   IF(
      VLOOKUP(
         INDEX('Shared parameters'!$A$2:$A$200,
                MATCH($A69,'Shared parameters'!$B$2:$B$200,0)
         ),
         'Parameter Categories'!$B$2:$G$200,
         6,
         FALSE
      )="x",
      "No",
      IF(
         VLOOKUP(
            INDEX('Shared parameters'!$A$2:$A$200,
                   MATCH($A69,'Shared parameters'!$B$2:$B$200,0)
            ),
            'Parameter Categories'!$B$2:$G$200,
            5,
            FALSE
         )="x",
         "Yes",
         ""
      )
   ),
"")</f>
        <v>No</v>
      </c>
      <c r="D69" s="55" t="str">
        <f>IFERROR(
    IF(
        ISNUMBER(
            VLOOKUP(
                INDEX('Shared parameters'!$A$2:$A$200,
                       MATCH($A69,'Shared parameters'!$B$2:$B$200,0)
                ),
                'Data Entry'!$A$2:$B$200,
                2,
                FALSE
            )
        ),
        VLOOKUP(
            INDEX('Shared parameters'!$A$2:$A$200,
                   MATCH($A69,'Shared parameters'!$B$2:$B$200,0)
            ),
            'Data Entry'!$A$2:$B$200,
            2,
            FALSE
        ),
        """" &amp;
        VLOOKUP(
            INDEX('Shared parameters'!$A$2:$A$200,
                   MATCH($A69,'Shared parameters'!$B$2:$B$200,0)
            ),
            'Data Entry'!$A$2:$B$200,
            2,
            FALSE
        ) &amp;
        """"
    ),
"")</f>
        <v>"No"</v>
      </c>
    </row>
    <row r="70" spans="1:4" x14ac:dyDescent="0.3">
      <c r="A70" s="53" t="str">
        <f>INDEX(SharedParams[Name],ROW(B69))</f>
        <v>DPP_TMP_Warranty_months</v>
      </c>
      <c r="B70" s="53" t="str">
        <f>IFERROR(
   VLOOKUP(
      INDEX('Manual workflow'!$B$2:$B$200,
             MATCH($A70,'Manual workflow'!$A$2:$A$200,0)
      ),
      'Built In Parameter groups'!$A$2:$C$200,
      3,
      FALSE
   ),
"")</f>
        <v>PG_IDENTITY_DATA</v>
      </c>
      <c r="C70" s="53" t="str">
        <f>IFERROR(
   IF(
      VLOOKUP(
         INDEX('Shared parameters'!$A$2:$A$200,
                MATCH($A70,'Shared parameters'!$B$2:$B$200,0)
         ),
         'Parameter Categories'!$B$2:$G$200,
         6,
         FALSE
      )="x",
      "No",
      IF(
         VLOOKUP(
            INDEX('Shared parameters'!$A$2:$A$200,
                   MATCH($A70,'Shared parameters'!$B$2:$B$200,0)
            ),
            'Parameter Categories'!$B$2:$G$200,
            5,
            FALSE
         )="x",
         "Yes",
         ""
      )
   ),
"")</f>
        <v>No</v>
      </c>
      <c r="D70" s="55">
        <f>IFERROR(
    IF(
        ISNUMBER(
            VLOOKUP(
                INDEX('Shared parameters'!$A$2:$A$200,
                       MATCH($A70,'Shared parameters'!$B$2:$B$200,0)
                ),
                'Data Entry'!$A$2:$B$200,
                2,
                FALSE
            )
        ),
        VLOOKUP(
            INDEX('Shared parameters'!$A$2:$A$200,
                   MATCH($A70,'Shared parameters'!$B$2:$B$200,0)
            ),
            'Data Entry'!$A$2:$B$200,
            2,
            FALSE
        ),
        """" &amp;
        VLOOKUP(
            INDEX('Shared parameters'!$A$2:$A$200,
                   MATCH($A70,'Shared parameters'!$B$2:$B$200,0)
            ),
            'Data Entry'!$A$2:$B$200,
            2,
            FALSE
        ) &amp;
        """"
    ),
"")</f>
        <v>0</v>
      </c>
    </row>
    <row r="71" spans="1:4" x14ac:dyDescent="0.3">
      <c r="A71" s="53" t="str">
        <f>INDEX(SharedParams[Name],ROW(B70))</f>
        <v>DPP_TMP_UpdateHistory</v>
      </c>
      <c r="B71" s="53" t="str">
        <f>IFERROR(
   VLOOKUP(
      INDEX('Manual workflow'!$B$2:$B$200,
             MATCH($A71,'Manual workflow'!$A$2:$A$200,0)
      ),
      'Built In Parameter groups'!$A$2:$C$200,
      3,
      FALSE
   ),
"")</f>
        <v>PG_IDENTITY_DATA</v>
      </c>
      <c r="C71" s="53" t="str">
        <f>IFERROR(
   IF(
      VLOOKUP(
         INDEX('Shared parameters'!$A$2:$A$200,
                MATCH($A71,'Shared parameters'!$B$2:$B$200,0)
         ),
         'Parameter Categories'!$B$2:$G$200,
         6,
         FALSE
      )="x",
      "No",
      IF(
         VLOOKUP(
            INDEX('Shared parameters'!$A$2:$A$200,
                   MATCH($A71,'Shared parameters'!$B$2:$B$200,0)
            ),
            'Parameter Categories'!$B$2:$G$200,
            5,
            FALSE
         )="x",
         "Yes",
         ""
      )
   ),
"")</f>
        <v>No</v>
      </c>
      <c r="D71" s="55" t="str">
        <f>IFERROR(
    IF(
        ISNUMBER(
            VLOOKUP(
                INDEX('Shared parameters'!$A$2:$A$200,
                       MATCH($A71,'Shared parameters'!$B$2:$B$200,0)
                ),
                'Data Entry'!$A$2:$B$200,
                2,
                FALSE
            )
        ),
        VLOOKUP(
            INDEX('Shared parameters'!$A$2:$A$200,
                   MATCH($A71,'Shared parameters'!$B$2:$B$200,0)
            ),
            'Data Entry'!$A$2:$B$200,
            2,
            FALSE
        ),
        """" &amp;
        VLOOKUP(
            INDEX('Shared parameters'!$A$2:$A$200,
                   MATCH($A71,'Shared parameters'!$B$2:$B$200,0)
            ),
            'Data Entry'!$A$2:$B$200,
            2,
            FALSE
        ) &amp;
        """"
    ),
"")</f>
        <v>""</v>
      </c>
    </row>
    <row r="72" spans="1:4" x14ac:dyDescent="0.3">
      <c r="A72" s="53" t="str">
        <f>INDEX(SharedParams[Name],ROW(B71))</f>
        <v>DPP_SAD_HPD</v>
      </c>
      <c r="B72" s="53" t="str">
        <f>IFERROR(
   VLOOKUP(
      INDEX('Manual workflow'!$B$2:$B$200,
             MATCH($A72,'Manual workflow'!$A$2:$A$200,0)
      ),
      'Built In Parameter groups'!$A$2:$C$200,
      3,
      FALSE
   ),
"")</f>
        <v>PG_LIFE_SAFETY</v>
      </c>
      <c r="C72" s="53" t="str">
        <f>IFERROR(
   IF(
      VLOOKUP(
         INDEX('Shared parameters'!$A$2:$A$200,
                MATCH($A72,'Shared parameters'!$B$2:$B$200,0)
         ),
         'Parameter Categories'!$B$2:$G$200,
         6,
         FALSE
      )="x",
      "No",
      IF(
         VLOOKUP(
            INDEX('Shared parameters'!$A$2:$A$200,
                   MATCH($A72,'Shared parameters'!$B$2:$B$200,0)
            ),
            'Parameter Categories'!$B$2:$G$200,
            5,
            FALSE
         )="x",
         "Yes",
         ""
      )
   ),
"")</f>
        <v>No</v>
      </c>
      <c r="D72" s="55" t="str">
        <f>IFERROR(
    IF(
        ISNUMBER(
            VLOOKUP(
                INDEX('Shared parameters'!$A$2:$A$200,
                       MATCH($A72,'Shared parameters'!$B$2:$B$200,0)
                ),
                'Data Entry'!$A$2:$B$200,
                2,
                FALSE
            )
        ),
        VLOOKUP(
            INDEX('Shared parameters'!$A$2:$A$200,
                   MATCH($A72,'Shared parameters'!$B$2:$B$200,0)
            ),
            'Data Entry'!$A$2:$B$200,
            2,
            FALSE
        ),
        """" &amp;
        VLOOKUP(
            INDEX('Shared parameters'!$A$2:$A$200,
                   MATCH($A72,'Shared parameters'!$B$2:$B$200,0)
            ),
            'Data Entry'!$A$2:$B$200,
            2,
            FALSE
        ) &amp;
        """"
    ),
"")</f>
        <v>"No"</v>
      </c>
    </row>
    <row r="73" spans="1:4" x14ac:dyDescent="0.3">
      <c r="A73" s="53" t="str">
        <f>INDEX(SharedParams[Name],ROW(B72))</f>
        <v>DPP_SAD_HPD_URL</v>
      </c>
      <c r="B73" s="53" t="str">
        <f>IFERROR(
   VLOOKUP(
      INDEX('Manual workflow'!$B$2:$B$200,
             MATCH($A73,'Manual workflow'!$A$2:$A$200,0)
      ),
      'Built In Parameter groups'!$A$2:$C$200,
      3,
      FALSE
   ),
"")</f>
        <v>PG_LIFE_SAFETY</v>
      </c>
      <c r="C73" s="53" t="str">
        <f>IFERROR(
   IF(
      VLOOKUP(
         INDEX('Shared parameters'!$A$2:$A$200,
                MATCH($A73,'Shared parameters'!$B$2:$B$200,0)
         ),
         'Parameter Categories'!$B$2:$G$200,
         6,
         FALSE
      )="x",
      "No",
      IF(
         VLOOKUP(
            INDEX('Shared parameters'!$A$2:$A$200,
                   MATCH($A73,'Shared parameters'!$B$2:$B$200,0)
            ),
            'Parameter Categories'!$B$2:$G$200,
            5,
            FALSE
         )="x",
         "Yes",
         ""
      )
   ),
"")</f>
        <v>No</v>
      </c>
      <c r="D73" s="55" t="str">
        <f>IFERROR(
    IF(
        ISNUMBER(
            VLOOKUP(
                INDEX('Shared parameters'!$A$2:$A$200,
                       MATCH($A73,'Shared parameters'!$B$2:$B$200,0)
                ),
                'Data Entry'!$A$2:$B$200,
                2,
                FALSE
            )
        ),
        VLOOKUP(
            INDEX('Shared parameters'!$A$2:$A$200,
                   MATCH($A73,'Shared parameters'!$B$2:$B$200,0)
            ),
            'Data Entry'!$A$2:$B$200,
            2,
            FALSE
        ),
        """" &amp;
        VLOOKUP(
            INDEX('Shared parameters'!$A$2:$A$200,
                   MATCH($A73,'Shared parameters'!$B$2:$B$200,0)
            ),
            'Data Entry'!$A$2:$B$200,
            2,
            FALSE
        ) &amp;
        """"
    ),
"")</f>
        <v>"—"</v>
      </c>
    </row>
    <row r="74" spans="1:4" x14ac:dyDescent="0.3">
      <c r="A74" s="53" t="str">
        <f>INDEX(SharedParams[Name],ROW(B73))</f>
        <v>DPP_SAD_HazardClassification</v>
      </c>
      <c r="B74" s="53" t="str">
        <f>IFERROR(
   VLOOKUP(
      INDEX('Manual workflow'!$B$2:$B$200,
             MATCH($A74,'Manual workflow'!$A$2:$A$200,0)
      ),
      'Built In Parameter groups'!$A$2:$C$200,
      3,
      FALSE
   ),
"")</f>
        <v>PG_LIFE_SAFETY</v>
      </c>
      <c r="C74" s="53" t="str">
        <f>IFERROR(
   IF(
      VLOOKUP(
         INDEX('Shared parameters'!$A$2:$A$200,
                MATCH($A74,'Shared parameters'!$B$2:$B$200,0)
         ),
         'Parameter Categories'!$B$2:$G$200,
         6,
         FALSE
      )="x",
      "No",
      IF(
         VLOOKUP(
            INDEX('Shared parameters'!$A$2:$A$200,
                   MATCH($A74,'Shared parameters'!$B$2:$B$200,0)
            ),
            'Parameter Categories'!$B$2:$G$200,
            5,
            FALSE
         )="x",
         "Yes",
         ""
      )
   ),
"")</f>
        <v>No</v>
      </c>
      <c r="D74" s="55" t="str">
        <f>IFERROR(
    IF(
        ISNUMBER(
            VLOOKUP(
                INDEX('Shared parameters'!$A$2:$A$200,
                       MATCH($A74,'Shared parameters'!$B$2:$B$200,0)
                ),
                'Data Entry'!$A$2:$B$200,
                2,
                FALSE
            )
        ),
        VLOOKUP(
            INDEX('Shared parameters'!$A$2:$A$200,
                   MATCH($A74,'Shared parameters'!$B$2:$B$200,0)
            ),
            'Data Entry'!$A$2:$B$200,
            2,
            FALSE
        ),
        """" &amp;
        VLOOKUP(
            INDEX('Shared parameters'!$A$2:$A$200,
                   MATCH($A74,'Shared parameters'!$B$2:$B$200,0)
            ),
            'Data Entry'!$A$2:$B$200,
            2,
            FALSE
        ) &amp;
        """"
    ),
"")</f>
        <v>"Not classified as hazardous"</v>
      </c>
    </row>
    <row r="75" spans="1:4" x14ac:dyDescent="0.3">
      <c r="A75" s="53" t="str">
        <f>INDEX(SharedParams[Name],ROW(B74))</f>
        <v>DPP_SAD_PM_CTUh</v>
      </c>
      <c r="B75" s="53" t="str">
        <f>IFERROR(
   VLOOKUP(
      INDEX('Manual workflow'!$B$2:$B$200,
             MATCH($A75,'Manual workflow'!$A$2:$A$200,0)
      ),
      'Built In Parameter groups'!$A$2:$C$200,
      3,
      FALSE
   ),
"")</f>
        <v>PG_LIFE_SAFETY</v>
      </c>
      <c r="C75" s="53" t="str">
        <f>IFERROR(
   IF(
      VLOOKUP(
         INDEX('Shared parameters'!$A$2:$A$200,
                MATCH($A75,'Shared parameters'!$B$2:$B$200,0)
         ),
         'Parameter Categories'!$B$2:$G$200,
         6,
         FALSE
      )="x",
      "No",
      IF(
         VLOOKUP(
            INDEX('Shared parameters'!$A$2:$A$200,
                   MATCH($A75,'Shared parameters'!$B$2:$B$200,0)
            ),
            'Parameter Categories'!$B$2:$G$200,
            5,
            FALSE
         )="x",
         "Yes",
         ""
      )
   ),
"")</f>
        <v>No</v>
      </c>
      <c r="D75" s="55">
        <f>IFERROR(
    IF(
        ISNUMBER(
            VLOOKUP(
                INDEX('Shared parameters'!$A$2:$A$200,
                       MATCH($A75,'Shared parameters'!$B$2:$B$200,0)
                ),
                'Data Entry'!$A$2:$B$200,
                2,
                FALSE
            )
        ),
        VLOOKUP(
            INDEX('Shared parameters'!$A$2:$A$200,
                   MATCH($A75,'Shared parameters'!$B$2:$B$200,0)
            ),
            'Data Entry'!$A$2:$B$200,
            2,
            FALSE
        ),
        """" &amp;
        VLOOKUP(
            INDEX('Shared parameters'!$A$2:$A$200,
                   MATCH($A75,'Shared parameters'!$B$2:$B$200,0)
            ),
            'Data Entry'!$A$2:$B$200,
            2,
            FALSE
        ) &amp;
        """"
    ),
"")</f>
        <v>2.272E-7</v>
      </c>
    </row>
    <row r="76" spans="1:4" x14ac:dyDescent="0.3">
      <c r="A76" s="53" t="str">
        <f>INDEX(SharedParams[Name],ROW(B75))</f>
        <v>DPP_SAD_IRP_kBqU235eq</v>
      </c>
      <c r="B76" s="53" t="str">
        <f>IFERROR(
   VLOOKUP(
      INDEX('Manual workflow'!$B$2:$B$200,
             MATCH($A76,'Manual workflow'!$A$2:$A$200,0)
      ),
      'Built In Parameter groups'!$A$2:$C$200,
      3,
      FALSE
   ),
"")</f>
        <v>PG_LIFE_SAFETY</v>
      </c>
      <c r="C76" s="53" t="str">
        <f>IFERROR(
   IF(
      VLOOKUP(
         INDEX('Shared parameters'!$A$2:$A$200,
                MATCH($A76,'Shared parameters'!$B$2:$B$200,0)
         ),
         'Parameter Categories'!$B$2:$G$200,
         6,
         FALSE
      )="x",
      "No",
      IF(
         VLOOKUP(
            INDEX('Shared parameters'!$A$2:$A$200,
                   MATCH($A76,'Shared parameters'!$B$2:$B$200,0)
            ),
            'Parameter Categories'!$B$2:$G$200,
            5,
            FALSE
         )="x",
         "Yes",
         ""
      )
   ),
"")</f>
        <v>No</v>
      </c>
      <c r="D76" s="55">
        <f>IFERROR(
    IF(
        ISNUMBER(
            VLOOKUP(
                INDEX('Shared parameters'!$A$2:$A$200,
                       MATCH($A76,'Shared parameters'!$B$2:$B$200,0)
                ),
                'Data Entry'!$A$2:$B$200,
                2,
                FALSE
            )
        ),
        VLOOKUP(
            INDEX('Shared parameters'!$A$2:$A$200,
                   MATCH($A76,'Shared parameters'!$B$2:$B$200,0)
            ),
            'Data Entry'!$A$2:$B$200,
            2,
            FALSE
        ),
        """" &amp;
        VLOOKUP(
            INDEX('Shared parameters'!$A$2:$A$200,
                   MATCH($A76,'Shared parameters'!$B$2:$B$200,0)
            ),
            'Data Entry'!$A$2:$B$200,
            2,
            FALSE
        ) &amp;
        """"
    ),
"")</f>
        <v>1.6239999999999997E-2</v>
      </c>
    </row>
    <row r="77" spans="1:4" x14ac:dyDescent="0.3">
      <c r="A77" s="53" t="str">
        <f>INDEX(SharedParams[Name],ROW(B76))</f>
        <v xml:space="preserve">DPP_SAD_ETPfw_CTUe </v>
      </c>
      <c r="B77" s="53" t="str">
        <f>IFERROR(
   VLOOKUP(
      INDEX('Manual workflow'!$B$2:$B$200,
             MATCH($A77,'Manual workflow'!$A$2:$A$200,0)
      ),
      'Built In Parameter groups'!$A$2:$C$200,
      3,
      FALSE
   ),
"")</f>
        <v>PG_LIFE_SAFETY</v>
      </c>
      <c r="C77" s="53" t="str">
        <f>IFERROR(
   IF(
      VLOOKUP(
         INDEX('Shared parameters'!$A$2:$A$200,
                MATCH($A77,'Shared parameters'!$B$2:$B$200,0)
         ),
         'Parameter Categories'!$B$2:$G$200,
         6,
         FALSE
      )="x",
      "No",
      IF(
         VLOOKUP(
            INDEX('Shared parameters'!$A$2:$A$200,
                   MATCH($A77,'Shared parameters'!$B$2:$B$200,0)
            ),
            'Parameter Categories'!$B$2:$G$200,
            5,
            FALSE
         )="x",
         "Yes",
         ""
      )
   ),
"")</f>
        <v>No</v>
      </c>
      <c r="D77" s="55">
        <f>IFERROR(
    IF(
        ISNUMBER(
            VLOOKUP(
                INDEX('Shared parameters'!$A$2:$A$200,
                       MATCH($A77,'Shared parameters'!$B$2:$B$200,0)
                ),
                'Data Entry'!$A$2:$B$200,
                2,
                FALSE
            )
        ),
        VLOOKUP(
            INDEX('Shared parameters'!$A$2:$A$200,
                   MATCH($A77,'Shared parameters'!$B$2:$B$200,0)
            ),
            'Data Entry'!$A$2:$B$200,
            2,
            FALSE
        ),
        """" &amp;
        VLOOKUP(
            INDEX('Shared parameters'!$A$2:$A$200,
                   MATCH($A77,'Shared parameters'!$B$2:$B$200,0)
            ),
            'Data Entry'!$A$2:$B$200,
            2,
            FALSE
        ) &amp;
        """"
    ),
"")</f>
        <v>12.266567999999999</v>
      </c>
    </row>
    <row r="78" spans="1:4" x14ac:dyDescent="0.3">
      <c r="A78" s="53" t="str">
        <f>INDEX(SharedParams[Name],ROW(B77))</f>
        <v>DPP_SAD_HRPc_CTUh</v>
      </c>
      <c r="B78" s="53" t="str">
        <f>IFERROR(
   VLOOKUP(
      INDEX('Manual workflow'!$B$2:$B$200,
             MATCH($A78,'Manual workflow'!$A$2:$A$200,0)
      ),
      'Built In Parameter groups'!$A$2:$C$200,
      3,
      FALSE
   ),
"")</f>
        <v>PG_LIFE_SAFETY</v>
      </c>
      <c r="C78" s="53" t="str">
        <f>IFERROR(
   IF(
      VLOOKUP(
         INDEX('Shared parameters'!$A$2:$A$200,
                MATCH($A78,'Shared parameters'!$B$2:$B$200,0)
         ),
         'Parameter Categories'!$B$2:$G$200,
         6,
         FALSE
      )="x",
      "No",
      IF(
         VLOOKUP(
            INDEX('Shared parameters'!$A$2:$A$200,
                   MATCH($A78,'Shared parameters'!$B$2:$B$200,0)
            ),
            'Parameter Categories'!$B$2:$G$200,
            5,
            FALSE
         )="x",
         "Yes",
         ""
      )
   ),
"")</f>
        <v>No</v>
      </c>
      <c r="D78" s="55">
        <f>IFERROR(
    IF(
        ISNUMBER(
            VLOOKUP(
                INDEX('Shared parameters'!$A$2:$A$200,
                       MATCH($A78,'Shared parameters'!$B$2:$B$200,0)
                ),
                'Data Entry'!$A$2:$B$200,
                2,
                FALSE
            )
        ),
        VLOOKUP(
            INDEX('Shared parameters'!$A$2:$A$200,
                   MATCH($A78,'Shared parameters'!$B$2:$B$200,0)
            ),
            'Data Entry'!$A$2:$B$200,
            2,
            FALSE
        ),
        """" &amp;
        VLOOKUP(
            INDEX('Shared parameters'!$A$2:$A$200,
                   MATCH($A78,'Shared parameters'!$B$2:$B$200,0)
            ),
            'Data Entry'!$A$2:$B$200,
            2,
            FALSE
        ) &amp;
        """"
    ),
"")</f>
        <v>7.0708479999999998E-10</v>
      </c>
    </row>
    <row r="79" spans="1:4" x14ac:dyDescent="0.3">
      <c r="A79" s="53" t="str">
        <f>INDEX(SharedParams[Name],ROW(B78))</f>
        <v>DPP_SAD_HRPnc_CTUh</v>
      </c>
      <c r="B79" s="53" t="str">
        <f>IFERROR(
   VLOOKUP(
      INDEX('Manual workflow'!$B$2:$B$200,
             MATCH($A79,'Manual workflow'!$A$2:$A$200,0)
      ),
      'Built In Parameter groups'!$A$2:$C$200,
      3,
      FALSE
   ),
"")</f>
        <v>PG_LIFE_SAFETY</v>
      </c>
      <c r="C79" s="53" t="str">
        <f>IFERROR(
   IF(
      VLOOKUP(
         INDEX('Shared parameters'!$A$2:$A$200,
                MATCH($A79,'Shared parameters'!$B$2:$B$200,0)
         ),
         'Parameter Categories'!$B$2:$G$200,
         6,
         FALSE
      )="x",
      "No",
      IF(
         VLOOKUP(
            INDEX('Shared parameters'!$A$2:$A$200,
                   MATCH($A79,'Shared parameters'!$B$2:$B$200,0)
            ),
            'Parameter Categories'!$B$2:$G$200,
            5,
            FALSE
         )="x",
         "Yes",
         ""
      )
   ),
"")</f>
        <v>No</v>
      </c>
      <c r="D79" s="55">
        <f>IFERROR(
    IF(
        ISNUMBER(
            VLOOKUP(
                INDEX('Shared parameters'!$A$2:$A$200,
                       MATCH($A79,'Shared parameters'!$B$2:$B$200,0)
                ),
                'Data Entry'!$A$2:$B$200,
                2,
                FALSE
            )
        ),
        VLOOKUP(
            INDEX('Shared parameters'!$A$2:$A$200,
                   MATCH($A79,'Shared parameters'!$B$2:$B$200,0)
            ),
            'Data Entry'!$A$2:$B$200,
            2,
            FALSE
        ),
        """" &amp;
        VLOOKUP(
            INDEX('Shared parameters'!$A$2:$A$200,
                   MATCH($A79,'Shared parameters'!$B$2:$B$200,0)
            ),
            'Data Entry'!$A$2:$B$200,
            2,
            FALSE
        ) &amp;
        """"
    ),
"")</f>
        <v>2.3093359999999999E-8</v>
      </c>
    </row>
    <row r="80" spans="1:4" x14ac:dyDescent="0.3">
      <c r="A80" s="53" t="str">
        <f>INDEX(SharedParams[Name],ROW(B79))</f>
        <v>DPP_SAD_SQP</v>
      </c>
      <c r="B80" s="53" t="str">
        <f>IFERROR(
   VLOOKUP(
      INDEX('Manual workflow'!$B$2:$B$200,
             MATCH($A80,'Manual workflow'!$A$2:$A$200,0)
      ),
      'Built In Parameter groups'!$A$2:$C$200,
      3,
      FALSE
   ),
"")</f>
        <v>PG_LIFE_SAFETY</v>
      </c>
      <c r="C80" s="53" t="str">
        <f>IFERROR(
   IF(
      VLOOKUP(
         INDEX('Shared parameters'!$A$2:$A$200,
                MATCH($A80,'Shared parameters'!$B$2:$B$200,0)
         ),
         'Parameter Categories'!$B$2:$G$200,
         6,
         FALSE
      )="x",
      "No",
      IF(
         VLOOKUP(
            INDEX('Shared parameters'!$A$2:$A$200,
                   MATCH($A80,'Shared parameters'!$B$2:$B$200,0)
            ),
            'Parameter Categories'!$B$2:$G$200,
            5,
            FALSE
         )="x",
         "Yes",
         ""
      )
   ),
"")</f>
        <v>No</v>
      </c>
      <c r="D80" s="55">
        <f>IFERROR(
    IF(
        ISNUMBER(
            VLOOKUP(
                INDEX('Shared parameters'!$A$2:$A$200,
                       MATCH($A80,'Shared parameters'!$B$2:$B$200,0)
                ),
                'Data Entry'!$A$2:$B$200,
                2,
                FALSE
            )
        ),
        VLOOKUP(
            INDEX('Shared parameters'!$A$2:$A$200,
                   MATCH($A80,'Shared parameters'!$B$2:$B$200,0)
            ),
            'Data Entry'!$A$2:$B$200,
            2,
            FALSE
        ),
        """" &amp;
        VLOOKUP(
            INDEX('Shared parameters'!$A$2:$A$200,
                   MATCH($A80,'Shared parameters'!$B$2:$B$200,0)
            ),
            'Data Entry'!$A$2:$B$200,
            2,
            FALSE
        ) &amp;
        """"
    ),
"")</f>
        <v>62.72</v>
      </c>
    </row>
    <row r="81" spans="1:4" x14ac:dyDescent="0.3">
      <c r="A81" s="53" t="str">
        <f>INDEX(SharedParams[Name],ROW(B80))</f>
        <v>DPP_SAD_Toxicity</v>
      </c>
      <c r="B81" s="53" t="str">
        <f>IFERROR(
   VLOOKUP(
      INDEX('Manual workflow'!$B$2:$B$200,
             MATCH($A81,'Manual workflow'!$A$2:$A$200,0)
      ),
      'Built In Parameter groups'!$A$2:$C$200,
      3,
      FALSE
   ),
"")</f>
        <v>PG_LIFE_SAFETY</v>
      </c>
      <c r="C81" s="53" t="str">
        <f>IFERROR(
   IF(
      VLOOKUP(
         INDEX('Shared parameters'!$A$2:$A$200,
                MATCH($A81,'Shared parameters'!$B$2:$B$200,0)
         ),
         'Parameter Categories'!$B$2:$G$200,
         6,
         FALSE
      )="x",
      "No",
      IF(
         VLOOKUP(
            INDEX('Shared parameters'!$A$2:$A$200,
                   MATCH($A81,'Shared parameters'!$B$2:$B$200,0)
            ),
            'Parameter Categories'!$B$2:$G$200,
            5,
            FALSE
         )="x",
         "Yes",
         ""
      )
   ),
"")</f>
        <v>No</v>
      </c>
      <c r="D81" s="55" t="str">
        <f>IFERROR(
    IF(
        ISNUMBER(
            VLOOKUP(
                INDEX('Shared parameters'!$A$2:$A$200,
                       MATCH($A81,'Shared parameters'!$B$2:$B$200,0)
                ),
                'Data Entry'!$A$2:$B$200,
                2,
                FALSE
            )
        ),
        VLOOKUP(
            INDEX('Shared parameters'!$A$2:$A$200,
                   MATCH($A81,'Shared parameters'!$B$2:$B$200,0)
            ),
            'Data Entry'!$A$2:$B$200,
            2,
            FALSE
        ),
        """" &amp;
        VLOOKUP(
            INDEX('Shared parameters'!$A$2:$A$200,
                   MATCH($A81,'Shared parameters'!$B$2:$B$200,0)
            ),
            'Data Entry'!$A$2:$B$200,
            2,
            FALSE
        ) &amp;
        """"
    ),
"")</f>
        <v>"No"</v>
      </c>
    </row>
    <row r="82" spans="1:4" ht="28.8" x14ac:dyDescent="0.3">
      <c r="A82" s="53" t="str">
        <f>INDEX(SharedParams[Name],ROW(B81))</f>
        <v>DPP_SAD_Fire_Class</v>
      </c>
      <c r="B82" s="53" t="str">
        <f>IFERROR(
   VLOOKUP(
      INDEX('Manual workflow'!$B$2:$B$200,
             MATCH($A82,'Manual workflow'!$A$2:$A$200,0)
      ),
      'Built In Parameter groups'!$A$2:$C$200,
      3,
      FALSE
   ),
"")</f>
        <v>PG_FIRE_PROTECTION</v>
      </c>
      <c r="C82" s="53" t="str">
        <f>IFERROR(
   IF(
      VLOOKUP(
         INDEX('Shared parameters'!$A$2:$A$200,
                MATCH($A82,'Shared parameters'!$B$2:$B$200,0)
         ),
         'Parameter Categories'!$B$2:$G$200,
         6,
         FALSE
      )="x",
      "No",
      IF(
         VLOOKUP(
            INDEX('Shared parameters'!$A$2:$A$200,
                   MATCH($A82,'Shared parameters'!$B$2:$B$200,0)
            ),
            'Parameter Categories'!$B$2:$G$200,
            5,
            FALSE
         )="x",
         "Yes",
         ""
      )
   ),
"")</f>
        <v>No</v>
      </c>
      <c r="D82" s="55" t="str">
        <f>IFERROR(
    IF(
        ISNUMBER(
            VLOOKUP(
                INDEX('Shared parameters'!$A$2:$A$200,
                       MATCH($A82,'Shared parameters'!$B$2:$B$200,0)
                ),
                'Data Entry'!$A$2:$B$200,
                2,
                FALSE
            )
        ),
        VLOOKUP(
            INDEX('Shared parameters'!$A$2:$A$200,
                   MATCH($A82,'Shared parameters'!$B$2:$B$200,0)
            ),
            'Data Entry'!$A$2:$B$200,
            2,
            FALSE
        ),
        """" &amp;
        VLOOKUP(
            INDEX('Shared parameters'!$A$2:$A$200,
                   MATCH($A82,'Shared parameters'!$B$2:$B$200,0)
            ),
            'Data Entry'!$A$2:$B$200,
            2,
            FALSE
        ) &amp;
        """"
    ),
"")</f>
        <v>"B (Very limited contribution to fire)"</v>
      </c>
    </row>
    <row r="83" spans="1:4" x14ac:dyDescent="0.3">
      <c r="A83" s="53" t="str">
        <f>INDEX(SharedParams[Name],ROW(B82))</f>
        <v>DPP_SAD_Fire_Ssubclass</v>
      </c>
      <c r="B83" s="53" t="str">
        <f>IFERROR(
   VLOOKUP(
      INDEX('Manual workflow'!$B$2:$B$200,
             MATCH($A83,'Manual workflow'!$A$2:$A$200,0)
      ),
      'Built In Parameter groups'!$A$2:$C$200,
      3,
      FALSE
   ),
"")</f>
        <v>PG_FIRE_PROTECTION</v>
      </c>
      <c r="C83" s="53" t="str">
        <f>IFERROR(
   IF(
      VLOOKUP(
         INDEX('Shared parameters'!$A$2:$A$200,
                MATCH($A83,'Shared parameters'!$B$2:$B$200,0)
         ),
         'Parameter Categories'!$B$2:$G$200,
         6,
         FALSE
      )="x",
      "No",
      IF(
         VLOOKUP(
            INDEX('Shared parameters'!$A$2:$A$200,
                   MATCH($A83,'Shared parameters'!$B$2:$B$200,0)
            ),
            'Parameter Categories'!$B$2:$G$200,
            5,
            FALSE
         )="x",
         "Yes",
         ""
      )
   ),
"")</f>
        <v>No</v>
      </c>
      <c r="D83" s="55" t="str">
        <f>IFERROR(
    IF(
        ISNUMBER(
            VLOOKUP(
                INDEX('Shared parameters'!$A$2:$A$200,
                       MATCH($A83,'Shared parameters'!$B$2:$B$200,0)
                ),
                'Data Entry'!$A$2:$B$200,
                2,
                FALSE
            )
        ),
        VLOOKUP(
            INDEX('Shared parameters'!$A$2:$A$200,
                   MATCH($A83,'Shared parameters'!$B$2:$B$200,0)
            ),
            'Data Entry'!$A$2:$B$200,
            2,
            FALSE
        ),
        """" &amp;
        VLOOKUP(
            INDEX('Shared parameters'!$A$2:$A$200,
                   MATCH($A83,'Shared parameters'!$B$2:$B$200,0)
            ),
            'Data Entry'!$A$2:$B$200,
            2,
            FALSE
        ) &amp;
        """"
    ),
"")</f>
        <v>"s1 (Little or no smoke)"</v>
      </c>
    </row>
    <row r="84" spans="1:4" ht="28.8" x14ac:dyDescent="0.3">
      <c r="A84" s="53" t="str">
        <f>INDEX(SharedParams[Name],ROW(B83))</f>
        <v>DPP_SAD_Fire_Dsubclass</v>
      </c>
      <c r="B84" s="53" t="str">
        <f>IFERROR(
   VLOOKUP(
      INDEX('Manual workflow'!$B$2:$B$200,
             MATCH($A84,'Manual workflow'!$A$2:$A$200,0)
      ),
      'Built In Parameter groups'!$A$2:$C$200,
      3,
      FALSE
   ),
"")</f>
        <v>PG_FIRE_PROTECTION</v>
      </c>
      <c r="C84" s="53" t="str">
        <f>IFERROR(
   IF(
      VLOOKUP(
         INDEX('Shared parameters'!$A$2:$A$200,
                MATCH($A84,'Shared parameters'!$B$2:$B$200,0)
         ),
         'Parameter Categories'!$B$2:$G$200,
         6,
         FALSE
      )="x",
      "No",
      IF(
         VLOOKUP(
            INDEX('Shared parameters'!$A$2:$A$200,
                   MATCH($A84,'Shared parameters'!$B$2:$B$200,0)
            ),
            'Parameter Categories'!$B$2:$G$200,
            5,
            FALSE
         )="x",
         "Yes",
         ""
      )
   ),
"")</f>
        <v>No</v>
      </c>
      <c r="D84" s="55" t="str">
        <f>IFERROR(
    IF(
        ISNUMBER(
            VLOOKUP(
                INDEX('Shared parameters'!$A$2:$A$200,
                       MATCH($A84,'Shared parameters'!$B$2:$B$200,0)
                ),
                'Data Entry'!$A$2:$B$200,
                2,
                FALSE
            )
        ),
        VLOOKUP(
            INDEX('Shared parameters'!$A$2:$A$200,
                   MATCH($A84,'Shared parameters'!$B$2:$B$200,0)
            ),
            'Data Entry'!$A$2:$B$200,
            2,
            FALSE
        ),
        """" &amp;
        VLOOKUP(
            INDEX('Shared parameters'!$A$2:$A$200,
                   MATCH($A84,'Shared parameters'!$B$2:$B$200,0)
            ),
            'Data Entry'!$A$2:$B$200,
            2,
            FALSE
        ) &amp;
        """"
    ),
"")</f>
        <v>"d0 (No flaming droplets or particles)"</v>
      </c>
    </row>
    <row r="85" spans="1:4" x14ac:dyDescent="0.3">
      <c r="A85" s="53" t="str">
        <f>INDEX(SharedParams[Name],ROW(B84))</f>
        <v>DPP_SAD_FireResistance</v>
      </c>
      <c r="B85" s="53" t="str">
        <f>IFERROR(
   VLOOKUP(
      INDEX('Manual workflow'!$B$2:$B$200,
             MATCH($A85,'Manual workflow'!$A$2:$A$200,0)
      ),
      'Built In Parameter groups'!$A$2:$C$200,
      3,
      FALSE
   ),
"")</f>
        <v>PG_FIRE_PROTECTION</v>
      </c>
      <c r="C85" s="53" t="str">
        <f>IFERROR(
   IF(
      VLOOKUP(
         INDEX('Shared parameters'!$A$2:$A$200,
                MATCH($A85,'Shared parameters'!$B$2:$B$200,0)
         ),
         'Parameter Categories'!$B$2:$G$200,
         6,
         FALSE
      )="x",
      "No",
      IF(
         VLOOKUP(
            INDEX('Shared parameters'!$A$2:$A$200,
                   MATCH($A85,'Shared parameters'!$B$2:$B$200,0)
            ),
            'Parameter Categories'!$B$2:$G$200,
            5,
            FALSE
         )="x",
         "Yes",
         ""
      )
   ),
"")</f>
        <v>No</v>
      </c>
      <c r="D85" s="55" t="str">
        <f>IFERROR(
    IF(
        ISNUMBER(
            VLOOKUP(
                INDEX('Shared parameters'!$A$2:$A$200,
                       MATCH($A85,'Shared parameters'!$B$2:$B$200,0)
                ),
                'Data Entry'!$A$2:$B$200,
                2,
                FALSE
            )
        ),
        VLOOKUP(
            INDEX('Shared parameters'!$A$2:$A$200,
                   MATCH($A85,'Shared parameters'!$B$2:$B$200,0)
            ),
            'Data Entry'!$A$2:$B$200,
            2,
            FALSE
        ),
        """" &amp;
        VLOOKUP(
            INDEX('Shared parameters'!$A$2:$A$200,
                   MATCH($A85,'Shared parameters'!$B$2:$B$200,0)
            ),
            'Data Entry'!$A$2:$B$200,
            2,
            FALSE
        ) &amp;
        """"
    ),
"")</f>
        <v>"B-s1; d0"</v>
      </c>
    </row>
    <row r="86" spans="1:4" x14ac:dyDescent="0.3">
      <c r="A86" s="53" t="str">
        <f>INDEX(SharedParams[Name],ROW(B85))</f>
        <v>DPP_SAD_Coatings</v>
      </c>
      <c r="B86" s="53" t="str">
        <f>IFERROR(
   VLOOKUP(
      INDEX('Manual workflow'!$B$2:$B$200,
             MATCH($A86,'Manual workflow'!$A$2:$A$200,0)
      ),
      'Built In Parameter groups'!$A$2:$C$200,
      3,
      FALSE
   ),
"")</f>
        <v>PG_MATERIALS</v>
      </c>
      <c r="C86" s="53" t="str">
        <f>IFERROR(
   IF(
      VLOOKUP(
         INDEX('Shared parameters'!$A$2:$A$200,
                MATCH($A86,'Shared parameters'!$B$2:$B$200,0)
         ),
         'Parameter Categories'!$B$2:$G$200,
         6,
         FALSE
      )="x",
      "No",
      IF(
         VLOOKUP(
            INDEX('Shared parameters'!$A$2:$A$200,
                   MATCH($A86,'Shared parameters'!$B$2:$B$200,0)
            ),
            'Parameter Categories'!$B$2:$G$200,
            5,
            FALSE
         )="x",
         "Yes",
         ""
      )
   ),
"")</f>
        <v>No</v>
      </c>
      <c r="D86" s="55" t="str">
        <f>IFERROR(
    IF(
        ISNUMBER(
            VLOOKUP(
                INDEX('Shared parameters'!$A$2:$A$200,
                       MATCH($A86,'Shared parameters'!$B$2:$B$200,0)
                ),
                'Data Entry'!$A$2:$B$200,
                2,
                FALSE
            )
        ),
        VLOOKUP(
            INDEX('Shared parameters'!$A$2:$A$200,
                   MATCH($A86,'Shared parameters'!$B$2:$B$200,0)
            ),
            'Data Entry'!$A$2:$B$200,
            2,
            FALSE
        ),
        """" &amp;
        VLOOKUP(
            INDEX('Shared parameters'!$A$2:$A$200,
                   MATCH($A86,'Shared parameters'!$B$2:$B$200,0)
            ),
            'Data Entry'!$A$2:$B$200,
            2,
            FALSE
        ) &amp;
        """"
    ),
"")</f>
        <v>"Yes"</v>
      </c>
    </row>
    <row r="87" spans="1:4" ht="43.2" x14ac:dyDescent="0.3">
      <c r="A87" s="53" t="str">
        <f>INDEX(SharedParams[Name],ROW(B86))</f>
        <v>DPP_SAD_CoatingType</v>
      </c>
      <c r="B87" s="53" t="str">
        <f>IFERROR(
   VLOOKUP(
      INDEX('Manual workflow'!$B$2:$B$200,
             MATCH($A87,'Manual workflow'!$A$2:$A$200,0)
      ),
      'Built In Parameter groups'!$A$2:$C$200,
      3,
      FALSE
   ),
"")</f>
        <v>PG_MATERIALS</v>
      </c>
      <c r="C87" s="53" t="str">
        <f>IFERROR(
   IF(
      VLOOKUP(
         INDEX('Shared parameters'!$A$2:$A$200,
                MATCH($A87,'Shared parameters'!$B$2:$B$200,0)
         ),
         'Parameter Categories'!$B$2:$G$200,
         6,
         FALSE
      )="x",
      "No",
      IF(
         VLOOKUP(
            INDEX('Shared parameters'!$A$2:$A$200,
                   MATCH($A87,'Shared parameters'!$B$2:$B$200,0)
            ),
            'Parameter Categories'!$B$2:$G$200,
            5,
            FALSE
         )="x",
         "Yes",
         ""
      )
   ),
"")</f>
        <v>No</v>
      </c>
      <c r="D87" s="55" t="str">
        <f>IFERROR(
    IF(
        ISNUMBER(
            VLOOKUP(
                INDEX('Shared parameters'!$A$2:$A$200,
                       MATCH($A87,'Shared parameters'!$B$2:$B$200,0)
                ),
                'Data Entry'!$A$2:$B$200,
                2,
                FALSE
            )
        ),
        VLOOKUP(
            INDEX('Shared parameters'!$A$2:$A$200,
                   MATCH($A87,'Shared parameters'!$B$2:$B$200,0)
            ),
            'Data Entry'!$A$2:$B$200,
            2,
            FALSE
        ),
        """" &amp;
        VLOOKUP(
            INDEX('Shared parameters'!$A$2:$A$200,
                   MATCH($A87,'Shared parameters'!$B$2:$B$200,0)
            ),
            'Data Entry'!$A$2:$B$200,
            2,
            FALSE
        ) &amp;
        """"
    ),
"")</f>
        <v>"breathable, vapor-permeable coatings, including lime-based plaster and natural mineral paints"</v>
      </c>
    </row>
    <row r="88" spans="1:4" x14ac:dyDescent="0.3">
      <c r="A88" s="53" t="str">
        <f>INDEX(SharedParams[Name],ROW(B87))</f>
        <v>DPP_SAD_PPERequirements</v>
      </c>
      <c r="B88" s="53" t="str">
        <f>IFERROR(
   VLOOKUP(
      INDEX('Manual workflow'!$B$2:$B$200,
             MATCH($A88,'Manual workflow'!$A$2:$A$200,0)
      ),
      'Built In Parameter groups'!$A$2:$C$200,
      3,
      FALSE
   ),
"")</f>
        <v>PG_LIFE_SAFETY</v>
      </c>
      <c r="C88" s="53" t="str">
        <f>IFERROR(
   IF(
      VLOOKUP(
         INDEX('Shared parameters'!$A$2:$A$200,
                MATCH($A88,'Shared parameters'!$B$2:$B$200,0)
         ),
         'Parameter Categories'!$B$2:$G$200,
         6,
         FALSE
      )="x",
      "No",
      IF(
         VLOOKUP(
            INDEX('Shared parameters'!$A$2:$A$200,
                   MATCH($A88,'Shared parameters'!$B$2:$B$200,0)
            ),
            'Parameter Categories'!$B$2:$G$200,
            5,
            FALSE
         )="x",
         "Yes",
         ""
      )
   ),
"")</f>
        <v>No</v>
      </c>
      <c r="D88" s="55" t="str">
        <f>IFERROR(
    IF(
        ISNUMBER(
            VLOOKUP(
                INDEX('Shared parameters'!$A$2:$A$200,
                       MATCH($A88,'Shared parameters'!$B$2:$B$200,0)
                ),
                'Data Entry'!$A$2:$B$200,
                2,
                FALSE
            )
        ),
        VLOOKUP(
            INDEX('Shared parameters'!$A$2:$A$200,
                   MATCH($A88,'Shared parameters'!$B$2:$B$200,0)
            ),
            'Data Entry'!$A$2:$B$200,
            2,
            FALSE
        ),
        """" &amp;
        VLOOKUP(
            INDEX('Shared parameters'!$A$2:$A$200,
                   MATCH($A88,'Shared parameters'!$B$2:$B$200,0)
            ),
            'Data Entry'!$A$2:$B$200,
            2,
            FALSE
        ) &amp;
        """"
    ),
"")</f>
        <v>""</v>
      </c>
    </row>
    <row r="89" spans="1:4" x14ac:dyDescent="0.3">
      <c r="A89" s="53" t="str">
        <f>INDEX(SharedParams[Name],ROW(B88))</f>
        <v>DPP_SAD_Compliance</v>
      </c>
      <c r="B89" s="53" t="str">
        <f>IFERROR(
   VLOOKUP(
      INDEX('Manual workflow'!$B$2:$B$200,
             MATCH($A89,'Manual workflow'!$A$2:$A$200,0)
      ),
      'Built In Parameter groups'!$A$2:$C$200,
      3,
      FALSE
   ),
"")</f>
        <v>PG_IDENTITY_DATA</v>
      </c>
      <c r="C89" s="53" t="str">
        <f>IFERROR(
   IF(
      VLOOKUP(
         INDEX('Shared parameters'!$A$2:$A$200,
                MATCH($A89,'Shared parameters'!$B$2:$B$200,0)
         ),
         'Parameter Categories'!$B$2:$G$200,
         6,
         FALSE
      )="x",
      "No",
      IF(
         VLOOKUP(
            INDEX('Shared parameters'!$A$2:$A$200,
                   MATCH($A89,'Shared parameters'!$B$2:$B$200,0)
            ),
            'Parameter Categories'!$B$2:$G$200,
            5,
            FALSE
         )="x",
         "Yes",
         ""
      )
   ),
"")</f>
        <v>No</v>
      </c>
      <c r="D89" s="55" t="str">
        <f>IFERROR(
    IF(
        ISNUMBER(
            VLOOKUP(
                INDEX('Shared parameters'!$A$2:$A$200,
                       MATCH($A89,'Shared parameters'!$B$2:$B$200,0)
                ),
                'Data Entry'!$A$2:$B$200,
                2,
                FALSE
            )
        ),
        VLOOKUP(
            INDEX('Shared parameters'!$A$2:$A$200,
                   MATCH($A89,'Shared parameters'!$B$2:$B$200,0)
            ),
            'Data Entry'!$A$2:$B$200,
            2,
            FALSE
        ),
        """" &amp;
        VLOOKUP(
            INDEX('Shared parameters'!$A$2:$A$200,
                   MATCH($A89,'Shared parameters'!$B$2:$B$200,0)
            ),
            'Data Entry'!$A$2:$B$200,
            2,
            FALSE
        ) &amp;
        """"
    ),
"")</f>
        <v>"Yes"</v>
      </c>
    </row>
    <row r="90" spans="1:4" x14ac:dyDescent="0.3">
      <c r="A90" s="53" t="str">
        <f>INDEX(SharedParams[Name],ROW(B89))</f>
        <v>DPP_ASD_SAC</v>
      </c>
      <c r="B90" s="53" t="str">
        <f>IFERROR(
   VLOOKUP(
      INDEX('Manual workflow'!$B$2:$B$200,
             MATCH($A90,'Manual workflow'!$A$2:$A$200,0)
      ),
      'Built In Parameter groups'!$A$2:$C$200,
      3,
      FALSE
   ),
"")</f>
        <v>PG_GENERAL</v>
      </c>
      <c r="C90" s="53" t="str">
        <f>IFERROR(
   IF(
      VLOOKUP(
         INDEX('Shared parameters'!$A$2:$A$200,
                MATCH($A90,'Shared parameters'!$B$2:$B$200,0)
         ),
         'Parameter Categories'!$B$2:$G$200,
         6,
         FALSE
      )="x",
      "No",
      IF(
         VLOOKUP(
            INDEX('Shared parameters'!$A$2:$A$200,
                   MATCH($A90,'Shared parameters'!$B$2:$B$200,0)
            ),
            'Parameter Categories'!$B$2:$G$200,
            5,
            FALSE
         )="x",
         "Yes",
         ""
      )
   ),
"")</f>
        <v>No</v>
      </c>
      <c r="D90" s="55">
        <f>IFERROR(
    IF(
        ISNUMBER(
            VLOOKUP(
                INDEX('Shared parameters'!$A$2:$A$200,
                       MATCH($A90,'Shared parameters'!$B$2:$B$200,0)
                ),
                'Data Entry'!$A$2:$B$200,
                2,
                FALSE
            )
        ),
        VLOOKUP(
            INDEX('Shared parameters'!$A$2:$A$200,
                   MATCH($A90,'Shared parameters'!$B$2:$B$200,0)
            ),
            'Data Entry'!$A$2:$B$200,
            2,
            FALSE
        ),
        """" &amp;
        VLOOKUP(
            INDEX('Shared parameters'!$A$2:$A$200,
                   MATCH($A90,'Shared parameters'!$B$2:$B$200,0)
            ),
            'Data Entry'!$A$2:$B$200,
            2,
            FALSE
        ) &amp;
        """"
    ),
"")</f>
        <v>0.8</v>
      </c>
    </row>
    <row r="91" spans="1:4" x14ac:dyDescent="0.3">
      <c r="A91" s="53" t="str">
        <f>INDEX(SharedParams[Name],ROW(B90))</f>
        <v>DPP_ASD_SAI_db</v>
      </c>
      <c r="B91" s="53" t="str">
        <f>IFERROR(
   VLOOKUP(
      INDEX('Manual workflow'!$B$2:$B$200,
             MATCH($A91,'Manual workflow'!$A$2:$A$200,0)
      ),
      'Built In Parameter groups'!$A$2:$C$200,
      3,
      FALSE
   ),
"")</f>
        <v>PG_GENERAL</v>
      </c>
      <c r="C91" s="53" t="str">
        <f>IFERROR(
   IF(
      VLOOKUP(
         INDEX('Shared parameters'!$A$2:$A$200,
                MATCH($A91,'Shared parameters'!$B$2:$B$200,0)
         ),
         'Parameter Categories'!$B$2:$G$200,
         6,
         FALSE
      )="x",
      "No",
      IF(
         VLOOKUP(
            INDEX('Shared parameters'!$A$2:$A$200,
                   MATCH($A91,'Shared parameters'!$B$2:$B$200,0)
            ),
            'Parameter Categories'!$B$2:$G$200,
            5,
            FALSE
         )="x",
         "Yes",
         ""
      )
   ),
"")</f>
        <v>No</v>
      </c>
      <c r="D91" s="55" t="str">
        <f>IFERROR(
    IF(
        ISNUMBER(
            VLOOKUP(
                INDEX('Shared parameters'!$A$2:$A$200,
                       MATCH($A91,'Shared parameters'!$B$2:$B$200,0)
                ),
                'Data Entry'!$A$2:$B$200,
                2,
                FALSE
            )
        ),
        VLOOKUP(
            INDEX('Shared parameters'!$A$2:$A$200,
                   MATCH($A91,'Shared parameters'!$B$2:$B$200,0)
            ),
            'Data Entry'!$A$2:$B$200,
            2,
            FALSE
        ),
        """" &amp;
        VLOOKUP(
            INDEX('Shared parameters'!$A$2:$A$200,
                   MATCH($A91,'Shared parameters'!$B$2:$B$200,0)
            ),
            'Data Entry'!$A$2:$B$200,
            2,
            FALSE
        ) &amp;
        """"
    ),
"")</f>
        <v>"&gt;-41"</v>
      </c>
    </row>
    <row r="92" spans="1:4" x14ac:dyDescent="0.3">
      <c r="A92" s="53" t="str">
        <f>INDEX(SharedParams[Name],ROW(B91))</f>
        <v>DPP_ASD_Color</v>
      </c>
      <c r="B92" s="53" t="str">
        <f>IFERROR(
   VLOOKUP(
      INDEX('Manual workflow'!$B$2:$B$200,
             MATCH($A92,'Manual workflow'!$A$2:$A$200,0)
      ),
      'Built In Parameter groups'!$A$2:$C$200,
      3,
      FALSE
   ),
"")</f>
        <v>PG_VISUALIZATION</v>
      </c>
      <c r="C92" s="53" t="str">
        <f>IFERROR(
   IF(
      VLOOKUP(
         INDEX('Shared parameters'!$A$2:$A$200,
                MATCH($A92,'Shared parameters'!$B$2:$B$200,0)
         ),
         'Parameter Categories'!$B$2:$G$200,
         6,
         FALSE
      )="x",
      "No",
      IF(
         VLOOKUP(
            INDEX('Shared parameters'!$A$2:$A$200,
                   MATCH($A92,'Shared parameters'!$B$2:$B$200,0)
            ),
            'Parameter Categories'!$B$2:$G$200,
            5,
            FALSE
         )="x",
         "Yes",
         ""
      )
   ),
"")</f>
        <v>Yes</v>
      </c>
      <c r="D92" s="55" t="str">
        <f>IFERROR(
    IF(
        ISNUMBER(
            VLOOKUP(
                INDEX('Shared parameters'!$A$2:$A$200,
                       MATCH($A92,'Shared parameters'!$B$2:$B$200,0)
                ),
                'Data Entry'!$A$2:$B$200,
                2,
                FALSE
            )
        ),
        VLOOKUP(
            INDEX('Shared parameters'!$A$2:$A$200,
                   MATCH($A92,'Shared parameters'!$B$2:$B$200,0)
            ),
            'Data Entry'!$A$2:$B$200,
            2,
            FALSE
        ),
        """" &amp;
        VLOOKUP(
            INDEX('Shared parameters'!$A$2:$A$200,
                   MATCH($A92,'Shared parameters'!$B$2:$B$200,0)
            ),
            'Data Entry'!$A$2:$B$200,
            2,
            FALSE
        ) &amp;
        """"
    ),
"")</f>
        <v>"Natural Beige #D8C9A6"</v>
      </c>
    </row>
    <row r="93" spans="1:4" x14ac:dyDescent="0.3">
      <c r="A93" s="53" t="str">
        <f>INDEX(SharedParams[Name],ROW(B92))</f>
        <v>DPP_ASD_Odor</v>
      </c>
      <c r="B93" s="53" t="str">
        <f>IFERROR(
   VLOOKUP(
      INDEX('Manual workflow'!$B$2:$B$200,
             MATCH($A93,'Manual workflow'!$A$2:$A$200,0)
      ),
      'Built In Parameter groups'!$A$2:$C$200,
      3,
      FALSE
   ),
"")</f>
        <v>PG_VISUALIZATION</v>
      </c>
      <c r="C93" s="53" t="str">
        <f>IFERROR(
   IF(
      VLOOKUP(
         INDEX('Shared parameters'!$A$2:$A$200,
                MATCH($A93,'Shared parameters'!$B$2:$B$200,0)
         ),
         'Parameter Categories'!$B$2:$G$200,
         6,
         FALSE
      )="x",
      "No",
      IF(
         VLOOKUP(
            INDEX('Shared parameters'!$A$2:$A$200,
                   MATCH($A93,'Shared parameters'!$B$2:$B$200,0)
            ),
            'Parameter Categories'!$B$2:$G$200,
            5,
            FALSE
         )="x",
         "Yes",
         ""
      )
   ),
"")</f>
        <v>Yes</v>
      </c>
      <c r="D93" s="55" t="str">
        <f>IFERROR(
    IF(
        ISNUMBER(
            VLOOKUP(
                INDEX('Shared parameters'!$A$2:$A$200,
                       MATCH($A93,'Shared parameters'!$B$2:$B$200,0)
                ),
                'Data Entry'!$A$2:$B$200,
                2,
                FALSE
            )
        ),
        VLOOKUP(
            INDEX('Shared parameters'!$A$2:$A$200,
                   MATCH($A93,'Shared parameters'!$B$2:$B$200,0)
            ),
            'Data Entry'!$A$2:$B$200,
            2,
            FALSE
        ),
        """" &amp;
        VLOOKUP(
            INDEX('Shared parameters'!$A$2:$A$200,
                   MATCH($A93,'Shared parameters'!$B$2:$B$200,0)
            ),
            'Data Entry'!$A$2:$B$200,
            2,
            FALSE
        ) &amp;
        """"
    ),
"")</f>
        <v>"Mild, earthy, lime-fresh scent"</v>
      </c>
    </row>
    <row r="94" spans="1:4" ht="28.8" x14ac:dyDescent="0.3">
      <c r="A94" s="53" t="str">
        <f>INDEX(SharedParams[Name],ROW(B93))</f>
        <v>DPP_ASD_Texture</v>
      </c>
      <c r="B94" s="53" t="str">
        <f>IFERROR(
   VLOOKUP(
      INDEX('Manual workflow'!$B$2:$B$200,
             MATCH($A94,'Manual workflow'!$A$2:$A$200,0)
      ),
      'Built In Parameter groups'!$A$2:$C$200,
      3,
      FALSE
   ),
"")</f>
        <v>PG_VISUALIZATION</v>
      </c>
      <c r="C94" s="53" t="str">
        <f>IFERROR(
   IF(
      VLOOKUP(
         INDEX('Shared parameters'!$A$2:$A$200,
                MATCH($A94,'Shared parameters'!$B$2:$B$200,0)
         ),
         'Parameter Categories'!$B$2:$G$200,
         6,
         FALSE
      )="x",
      "No",
      IF(
         VLOOKUP(
            INDEX('Shared parameters'!$A$2:$A$200,
                   MATCH($A94,'Shared parameters'!$B$2:$B$200,0)
            ),
            'Parameter Categories'!$B$2:$G$200,
            5,
            FALSE
         )="x",
         "Yes",
         ""
      )
   ),
"")</f>
        <v>Yes</v>
      </c>
      <c r="D94" s="55" t="str">
        <f>IFERROR(
    IF(
        ISNUMBER(
            VLOOKUP(
                INDEX('Shared parameters'!$A$2:$A$200,
                       MATCH($A94,'Shared parameters'!$B$2:$B$200,0)
                ),
                'Data Entry'!$A$2:$B$200,
                2,
                FALSE
            )
        ),
        VLOOKUP(
            INDEX('Shared parameters'!$A$2:$A$200,
                   MATCH($A94,'Shared parameters'!$B$2:$B$200,0)
            ),
            'Data Entry'!$A$2:$B$200,
            2,
            FALSE
        ),
        """" &amp;
        VLOOKUP(
            INDEX('Shared parameters'!$A$2:$A$200,
                   MATCH($A94,'Shared parameters'!$B$2:$B$200,0)
            ),
            'Data Entry'!$A$2:$B$200,
            2,
            FALSE
        ) &amp;
        """"
    ),
"")</f>
        <v>"Porous, fibrous, and dry to the touch"</v>
      </c>
    </row>
    <row r="95" spans="1:4" ht="28.8" x14ac:dyDescent="0.3">
      <c r="A95" s="53" t="str">
        <f>INDEX(SharedParams[Name],ROW(B94))</f>
        <v>DPP_ASD_Temp</v>
      </c>
      <c r="B95" s="53" t="str">
        <f>IFERROR(
   VLOOKUP(
      INDEX('Manual workflow'!$B$2:$B$200,
             MATCH($A95,'Manual workflow'!$A$2:$A$200,0)
      ),
      'Built In Parameter groups'!$A$2:$C$200,
      3,
      FALSE
   ),
"")</f>
        <v>PG_VISUALIZATION</v>
      </c>
      <c r="C95" s="53" t="str">
        <f>IFERROR(
   IF(
      VLOOKUP(
         INDEX('Shared parameters'!$A$2:$A$200,
                MATCH($A95,'Shared parameters'!$B$2:$B$200,0)
         ),
         'Parameter Categories'!$B$2:$G$200,
         6,
         FALSE
      )="x",
      "No",
      IF(
         VLOOKUP(
            INDEX('Shared parameters'!$A$2:$A$200,
                   MATCH($A95,'Shared parameters'!$B$2:$B$200,0)
            ),
            'Parameter Categories'!$B$2:$G$200,
            5,
            FALSE
         )="x",
         "Yes",
         ""
      )
   ),
"")</f>
        <v>Yes</v>
      </c>
      <c r="D95" s="55" t="str">
        <f>IFERROR(
    IF(
        ISNUMBER(
            VLOOKUP(
                INDEX('Shared parameters'!$A$2:$A$200,
                       MATCH($A95,'Shared parameters'!$B$2:$B$200,0)
                ),
                'Data Entry'!$A$2:$B$200,
                2,
                FALSE
            )
        ),
        VLOOKUP(
            INDEX('Shared parameters'!$A$2:$A$200,
                   MATCH($A95,'Shared parameters'!$B$2:$B$200,0)
            ),
            'Data Entry'!$A$2:$B$200,
            2,
            FALSE
        ),
        """" &amp;
        VLOOKUP(
            INDEX('Shared parameters'!$A$2:$A$200,
                   MATCH($A95,'Shared parameters'!$B$2:$B$200,0)
            ),
            'Data Entry'!$A$2:$B$200,
            2,
            FALSE
        ) &amp;
        """"
    ),
"")</f>
        <v>"Feels thermally neutral or slightly warm"</v>
      </c>
    </row>
    <row r="96" spans="1:4" x14ac:dyDescent="0.3">
      <c r="A96" s="53" t="str">
        <f>INDEX(SharedParams[Name],ROW(B95))</f>
        <v>DPP_ASD_ClimateSuitability</v>
      </c>
      <c r="B96" s="53" t="str">
        <f>IFERROR(
   VLOOKUP(
      INDEX('Manual workflow'!$B$2:$B$200,
             MATCH($A96,'Manual workflow'!$A$2:$A$200,0)
      ),
      'Built In Parameter groups'!$A$2:$C$200,
      3,
      FALSE
   ),
"")</f>
        <v>PG_OTHER</v>
      </c>
      <c r="C96" s="53" t="str">
        <f>IFERROR(
   IF(
      VLOOKUP(
         INDEX('Shared parameters'!$A$2:$A$200,
                MATCH($A96,'Shared parameters'!$B$2:$B$200,0)
         ),
         'Parameter Categories'!$B$2:$G$200,
         6,
         FALSE
      )="x",
      "No",
      IF(
         VLOOKUP(
            INDEX('Shared parameters'!$A$2:$A$200,
                   MATCH($A96,'Shared parameters'!$B$2:$B$200,0)
            ),
            'Parameter Categories'!$B$2:$G$200,
            5,
            FALSE
         )="x",
         "Yes",
         ""
      )
   ),
"")</f>
        <v>Yes</v>
      </c>
      <c r="D96" s="55" t="str">
        <f>IFERROR(
    IF(
        ISNUMBER(
            VLOOKUP(
                INDEX('Shared parameters'!$A$2:$A$200,
                       MATCH($A96,'Shared parameters'!$B$2:$B$200,0)
                ),
                'Data Entry'!$A$2:$B$200,
                2,
                FALSE
            )
        ),
        VLOOKUP(
            INDEX('Shared parameters'!$A$2:$A$200,
                   MATCH($A96,'Shared parameters'!$B$2:$B$200,0)
            ),
            'Data Entry'!$A$2:$B$200,
            2,
            FALSE
        ),
        """" &amp;
        VLOOKUP(
            INDEX('Shared parameters'!$A$2:$A$200,
                   MATCH($A96,'Shared parameters'!$B$2:$B$200,0)
            ),
            'Data Entry'!$A$2:$B$200,
            2,
            FALSE
        ) &amp;
        """"
    ),
"")</f>
        <v>"Varied"</v>
      </c>
    </row>
    <row r="97" spans="1:4" x14ac:dyDescent="0.3">
      <c r="A97" s="53" t="str">
        <f>INDEX(SharedParams[Name],ROW(B96))</f>
        <v>DPP_ASD_AgriculturalValue</v>
      </c>
      <c r="B97" s="53" t="str">
        <f>IFERROR(
   VLOOKUP(
      INDEX('Manual workflow'!$B$2:$B$200,
             MATCH($A97,'Manual workflow'!$A$2:$A$200,0)
      ),
      'Built In Parameter groups'!$A$2:$C$200,
      3,
      FALSE
   ),
"")</f>
        <v>PG_OTHER</v>
      </c>
      <c r="C97" s="53" t="str">
        <f>IFERROR(
   IF(
      VLOOKUP(
         INDEX('Shared parameters'!$A$2:$A$200,
                MATCH($A97,'Shared parameters'!$B$2:$B$200,0)
         ),
         'Parameter Categories'!$B$2:$G$200,
         6,
         FALSE
      )="x",
      "No",
      IF(
         VLOOKUP(
            INDEX('Shared parameters'!$A$2:$A$200,
                   MATCH($A97,'Shared parameters'!$B$2:$B$200,0)
            ),
            'Parameter Categories'!$B$2:$G$200,
            5,
            FALSE
         )="x",
         "Yes",
         ""
      )
   ),
"")</f>
        <v>Yes</v>
      </c>
      <c r="D97" s="55" t="str">
        <f>IFERROR(
    IF(
        ISNUMBER(
            VLOOKUP(
                INDEX('Shared parameters'!$A$2:$A$200,
                       MATCH($A97,'Shared parameters'!$B$2:$B$200,0)
                ),
                'Data Entry'!$A$2:$B$200,
                2,
                FALSE
            )
        ),
        VLOOKUP(
            INDEX('Shared parameters'!$A$2:$A$200,
                   MATCH($A97,'Shared parameters'!$B$2:$B$200,0)
            ),
            'Data Entry'!$A$2:$B$200,
            2,
            FALSE
        ),
        """" &amp;
        VLOOKUP(
            INDEX('Shared parameters'!$A$2:$A$200,
                   MATCH($A97,'Shared parameters'!$B$2:$B$200,0)
            ),
            'Data Entry'!$A$2:$B$200,
            2,
            FALSE
        ) &amp;
        """"
    ),
"")</f>
        <v>"High"</v>
      </c>
    </row>
    <row r="98" spans="1:4" x14ac:dyDescent="0.3">
      <c r="A98" s="53" t="str">
        <f>INDEX(SharedParams[Name],ROW(B97))</f>
        <v>DPP_ASD_ResourseAvailability</v>
      </c>
      <c r="B98" s="53" t="str">
        <f>IFERROR(
   VLOOKUP(
      INDEX('Manual workflow'!$B$2:$B$200,
             MATCH($A98,'Manual workflow'!$A$2:$A$200,0)
      ),
      'Built In Parameter groups'!$A$2:$C$200,
      3,
      FALSE
   ),
"")</f>
        <v>PG_OTHER</v>
      </c>
      <c r="C98" s="53" t="str">
        <f>IFERROR(
   IF(
      VLOOKUP(
         INDEX('Shared parameters'!$A$2:$A$200,
                MATCH($A98,'Shared parameters'!$B$2:$B$200,0)
         ),
         'Parameter Categories'!$B$2:$G$200,
         6,
         FALSE
      )="x",
      "No",
      IF(
         VLOOKUP(
            INDEX('Shared parameters'!$A$2:$A$200,
                   MATCH($A98,'Shared parameters'!$B$2:$B$200,0)
            ),
            'Parameter Categories'!$B$2:$G$200,
            5,
            FALSE
         )="x",
         "Yes",
         ""
      )
   ),
"")</f>
        <v>Yes</v>
      </c>
      <c r="D98" s="55" t="str">
        <f>IFERROR(
    IF(
        ISNUMBER(
            VLOOKUP(
                INDEX('Shared parameters'!$A$2:$A$200,
                       MATCH($A98,'Shared parameters'!$B$2:$B$200,0)
                ),
                'Data Entry'!$A$2:$B$200,
                2,
                FALSE
            )
        ),
        VLOOKUP(
            INDEX('Shared parameters'!$A$2:$A$200,
                   MATCH($A98,'Shared parameters'!$B$2:$B$200,0)
            ),
            'Data Entry'!$A$2:$B$200,
            2,
            FALSE
        ),
        """" &amp;
        VLOOKUP(
            INDEX('Shared parameters'!$A$2:$A$200,
                   MATCH($A98,'Shared parameters'!$B$2:$B$200,0)
            ),
            'Data Entry'!$A$2:$B$200,
            2,
            FALSE
        ) &amp;
        """"
    ),
"")</f>
        <v>"Regional"</v>
      </c>
    </row>
    <row r="99" spans="1:4" x14ac:dyDescent="0.3">
      <c r="A99" s="53" t="str">
        <f>INDEX(SharedParams[Name],ROW(B98))</f>
        <v>DPP_ASD_Aging</v>
      </c>
      <c r="B99" s="53" t="str">
        <f>IFERROR(
   VLOOKUP(
      INDEX('Manual workflow'!$B$2:$B$200,
             MATCH($A99,'Manual workflow'!$A$2:$A$200,0)
      ),
      'Built In Parameter groups'!$A$2:$C$200,
      3,
      FALSE
   ),
"")</f>
        <v>PG_OTHER</v>
      </c>
      <c r="C99" s="53" t="str">
        <f>IFERROR(
   IF(
      VLOOKUP(
         INDEX('Shared parameters'!$A$2:$A$200,
                MATCH($A99,'Shared parameters'!$B$2:$B$200,0)
         ),
         'Parameter Categories'!$B$2:$G$200,
         6,
         FALSE
      )="x",
      "No",
      IF(
         VLOOKUP(
            INDEX('Shared parameters'!$A$2:$A$200,
                   MATCH($A99,'Shared parameters'!$B$2:$B$200,0)
            ),
            'Parameter Categories'!$B$2:$G$200,
            5,
            FALSE
         )="x",
         "Yes",
         ""
      )
   ),
"")</f>
        <v>Yes</v>
      </c>
      <c r="D99" s="55">
        <f>IFERROR(
    IF(
        ISNUMBER(
            VLOOKUP(
                INDEX('Shared parameters'!$A$2:$A$200,
                       MATCH($A99,'Shared parameters'!$B$2:$B$200,0)
                ),
                'Data Entry'!$A$2:$B$200,
                2,
                FALSE
            )
        ),
        VLOOKUP(
            INDEX('Shared parameters'!$A$2:$A$200,
                   MATCH($A99,'Shared parameters'!$B$2:$B$200,0)
            ),
            'Data Entry'!$A$2:$B$200,
            2,
            FALSE
        ),
        """" &amp;
        VLOOKUP(
            INDEX('Shared parameters'!$A$2:$A$200,
                   MATCH($A99,'Shared parameters'!$B$2:$B$200,0)
            ),
            'Data Entry'!$A$2:$B$200,
            2,
            FALSE
        ) &amp;
        """"
    ),
"")</f>
        <v>4</v>
      </c>
    </row>
    <row r="100" spans="1:4" x14ac:dyDescent="0.3">
      <c r="A100" s="53" t="str">
        <f>INDEX(SharedParams[Name],ROW(B99))</f>
        <v>DPP_ASD_Architectural</v>
      </c>
      <c r="B100" s="53" t="str">
        <f>IFERROR(
   VLOOKUP(
      INDEX('Manual workflow'!$B$2:$B$200,
             MATCH($A100,'Manual workflow'!$A$2:$A$200,0)
      ),
      'Built In Parameter groups'!$A$2:$C$200,
      3,
      FALSE
   ),
"")</f>
        <v>PG_OTHER</v>
      </c>
      <c r="C100" s="53" t="str">
        <f>IFERROR(
   IF(
      VLOOKUP(
         INDEX('Shared parameters'!$A$2:$A$200,
                MATCH($A100,'Shared parameters'!$B$2:$B$200,0)
         ),
         'Parameter Categories'!$B$2:$G$200,
         6,
         FALSE
      )="x",
      "No",
      IF(
         VLOOKUP(
            INDEX('Shared parameters'!$A$2:$A$200,
                   MATCH($A100,'Shared parameters'!$B$2:$B$200,0)
            ),
            'Parameter Categories'!$B$2:$G$200,
            5,
            FALSE
         )="x",
         "Yes",
         ""
      )
   ),
"")</f>
        <v>Yes</v>
      </c>
      <c r="D100" s="55">
        <f>IFERROR(
    IF(
        ISNUMBER(
            VLOOKUP(
                INDEX('Shared parameters'!$A$2:$A$200,
                       MATCH($A100,'Shared parameters'!$B$2:$B$200,0)
                ),
                'Data Entry'!$A$2:$B$200,
                2,
                FALSE
            )
        ),
        VLOOKUP(
            INDEX('Shared parameters'!$A$2:$A$200,
                   MATCH($A100,'Shared parameters'!$B$2:$B$200,0)
            ),
            'Data Entry'!$A$2:$B$200,
            2,
            FALSE
        ),
        """" &amp;
        VLOOKUP(
            INDEX('Shared parameters'!$A$2:$A$200,
                   MATCH($A100,'Shared parameters'!$B$2:$B$200,0)
            ),
            'Data Entry'!$A$2:$B$200,
            2,
            FALSE
        ) &amp;
        """"
    ),
"")</f>
        <v>4</v>
      </c>
    </row>
    <row r="101" spans="1:4" x14ac:dyDescent="0.3">
      <c r="A101" s="53" t="str">
        <f>INDEX(SharedParams[Name],ROW(B100))</f>
        <v>DPP_ASD_Aesthetic</v>
      </c>
      <c r="B101" s="53" t="str">
        <f>IFERROR(
   VLOOKUP(
      INDEX('Manual workflow'!$B$2:$B$200,
             MATCH($A101,'Manual workflow'!$A$2:$A$200,0)
      ),
      'Built In Parameter groups'!$A$2:$C$200,
      3,
      FALSE
   ),
"")</f>
        <v>PG_OTHER</v>
      </c>
      <c r="C101" s="53" t="str">
        <f>IFERROR(
   IF(
      VLOOKUP(
         INDEX('Shared parameters'!$A$2:$A$200,
                MATCH($A101,'Shared parameters'!$B$2:$B$200,0)
         ),
         'Parameter Categories'!$B$2:$G$200,
         6,
         FALSE
      )="x",
      "No",
      IF(
         VLOOKUP(
            INDEX('Shared parameters'!$A$2:$A$200,
                   MATCH($A101,'Shared parameters'!$B$2:$B$200,0)
            ),
            'Parameter Categories'!$B$2:$G$200,
            5,
            FALSE
         )="x",
         "Yes",
         ""
      )
   ),
"")</f>
        <v>No</v>
      </c>
      <c r="D101" s="55">
        <f>IFERROR(
    IF(
        ISNUMBER(
            VLOOKUP(
                INDEX('Shared parameters'!$A$2:$A$200,
                       MATCH($A101,'Shared parameters'!$B$2:$B$200,0)
                ),
                'Data Entry'!$A$2:$B$200,
                2,
                FALSE
            )
        ),
        VLOOKUP(
            INDEX('Shared parameters'!$A$2:$A$200,
                   MATCH($A101,'Shared parameters'!$B$2:$B$200,0)
            ),
            'Data Entry'!$A$2:$B$200,
            2,
            FALSE
        ),
        """" &amp;
        VLOOKUP(
            INDEX('Shared parameters'!$A$2:$A$200,
                   MATCH($A101,'Shared parameters'!$B$2:$B$200,0)
            ),
            'Data Entry'!$A$2:$B$200,
            2,
            FALSE
        ) &amp;
        """"
    ),
"")</f>
        <v>5</v>
      </c>
    </row>
    <row r="102" spans="1:4" ht="43.2" x14ac:dyDescent="0.3">
      <c r="A102" s="53" t="str">
        <f>INDEX(SharedParams[Name],ROW(B101))</f>
        <v>DPP_ASD_ComfortThermal</v>
      </c>
      <c r="B102" s="53" t="str">
        <f>IFERROR(
   VLOOKUP(
      INDEX('Manual workflow'!$B$2:$B$200,
             MATCH($A102,'Manual workflow'!$A$2:$A$200,0)
      ),
      'Built In Parameter groups'!$A$2:$C$200,
      3,
      FALSE
   ),
"")</f>
        <v>PG_TEXT</v>
      </c>
      <c r="C102" s="53" t="str">
        <f>IFERROR(
   IF(
      VLOOKUP(
         INDEX('Shared parameters'!$A$2:$A$200,
                MATCH($A102,'Shared parameters'!$B$2:$B$200,0)
         ),
         'Parameter Categories'!$B$2:$G$200,
         6,
         FALSE
      )="x",
      "No",
      IF(
         VLOOKUP(
            INDEX('Shared parameters'!$A$2:$A$200,
                   MATCH($A102,'Shared parameters'!$B$2:$B$200,0)
            ),
            'Parameter Categories'!$B$2:$G$200,
            5,
            FALSE
         )="x",
         "Yes",
         ""
      )
   ),
"")</f>
        <v>No</v>
      </c>
      <c r="D102" s="55" t="str">
        <f>IFERROR(
    IF(
        ISNUMBER(
            VLOOKUP(
                INDEX('Shared parameters'!$A$2:$A$200,
                       MATCH($A102,'Shared parameters'!$B$2:$B$200,0)
                ),
                'Data Entry'!$A$2:$B$200,
                2,
                FALSE
            )
        ),
        VLOOKUP(
            INDEX('Shared parameters'!$A$2:$A$200,
                   MATCH($A102,'Shared parameters'!$B$2:$B$200,0)
            ),
            'Data Entry'!$A$2:$B$200,
            2,
            FALSE
        ),
        """" &amp;
        VLOOKUP(
            INDEX('Shared parameters'!$A$2:$A$200,
                   MATCH($A102,'Shared parameters'!$B$2:$B$200,0)
            ),
            'Data Entry'!$A$2:$B$200,
            2,
            FALSE
        ) &amp;
        """"
    ),
"")</f>
        <v>"Provides insulation, stabilizes indoor temperature, reduces overheating and heat loss."</v>
      </c>
    </row>
    <row r="103" spans="1:4" ht="43.2" x14ac:dyDescent="0.3">
      <c r="A103" s="53" t="str">
        <f>INDEX(SharedParams[Name],ROW(B102))</f>
        <v>DPP_ASD_ComfortHygrothermal</v>
      </c>
      <c r="B103" s="53" t="str">
        <f>IFERROR(
   VLOOKUP(
      INDEX('Manual workflow'!$B$2:$B$200,
             MATCH($A103,'Manual workflow'!$A$2:$A$200,0)
      ),
      'Built In Parameter groups'!$A$2:$C$200,
      3,
      FALSE
   ),
"")</f>
        <v>PG_TEXT</v>
      </c>
      <c r="C103" s="53" t="str">
        <f>IFERROR(
   IF(
      VLOOKUP(
         INDEX('Shared parameters'!$A$2:$A$200,
                MATCH($A103,'Shared parameters'!$B$2:$B$200,0)
         ),
         'Parameter Categories'!$B$2:$G$200,
         6,
         FALSE
      )="x",
      "No",
      IF(
         VLOOKUP(
            INDEX('Shared parameters'!$A$2:$A$200,
                   MATCH($A103,'Shared parameters'!$B$2:$B$200,0)
            ),
            'Parameter Categories'!$B$2:$G$200,
            5,
            FALSE
         )="x",
         "Yes",
         ""
      )
   ),
"")</f>
        <v>No</v>
      </c>
      <c r="D103" s="55" t="str">
        <f>IFERROR(
    IF(
        ISNUMBER(
            VLOOKUP(
                INDEX('Shared parameters'!$A$2:$A$200,
                       MATCH($A103,'Shared parameters'!$B$2:$B$200,0)
                ),
                'Data Entry'!$A$2:$B$200,
                2,
                FALSE
            )
        ),
        VLOOKUP(
            INDEX('Shared parameters'!$A$2:$A$200,
                   MATCH($A103,'Shared parameters'!$B$2:$B$200,0)
            ),
            'Data Entry'!$A$2:$B$200,
            2,
            FALSE
        ),
        """" &amp;
        VLOOKUP(
            INDEX('Shared parameters'!$A$2:$A$200,
                   MATCH($A103,'Shared parameters'!$B$2:$B$200,0)
            ),
            'Data Entry'!$A$2:$B$200,
            2,
            FALSE
        ) &amp;
        """"
    ),
"")</f>
        <v>"Regulates indoor humidity, doees not prevent condensation and mold, enhances air quality."</v>
      </c>
    </row>
    <row r="104" spans="1:4" ht="43.2" x14ac:dyDescent="0.3">
      <c r="A104" s="53" t="str">
        <f>INDEX(SharedParams[Name],ROW(B103))</f>
        <v>DPP_ASD_ComfortAcoustic</v>
      </c>
      <c r="B104" s="53" t="str">
        <f>IFERROR(
   VLOOKUP(
      INDEX('Manual workflow'!$B$2:$B$200,
             MATCH($A104,'Manual workflow'!$A$2:$A$200,0)
      ),
      'Built In Parameter groups'!$A$2:$C$200,
      3,
      FALSE
   ),
"")</f>
        <v>PG_TEXT</v>
      </c>
      <c r="C104" s="53" t="str">
        <f>IFERROR(
   IF(
      VLOOKUP(
         INDEX('Shared parameters'!$A$2:$A$200,
                MATCH($A104,'Shared parameters'!$B$2:$B$200,0)
         ),
         'Parameter Categories'!$B$2:$G$200,
         6,
         FALSE
      )="x",
      "No",
      IF(
         VLOOKUP(
            INDEX('Shared parameters'!$A$2:$A$200,
                   MATCH($A104,'Shared parameters'!$B$2:$B$200,0)
            ),
            'Parameter Categories'!$B$2:$G$200,
            5,
            FALSE
         )="x",
         "Yes",
         ""
      )
   ),
"")</f>
        <v>No</v>
      </c>
      <c r="D104" s="55" t="str">
        <f>IFERROR(
    IF(
        ISNUMBER(
            VLOOKUP(
                INDEX('Shared parameters'!$A$2:$A$200,
                       MATCH($A104,'Shared parameters'!$B$2:$B$200,0)
                ),
                'Data Entry'!$A$2:$B$200,
                2,
                FALSE
            )
        ),
        VLOOKUP(
            INDEX('Shared parameters'!$A$2:$A$200,
                   MATCH($A104,'Shared parameters'!$B$2:$B$200,0)
            ),
            'Data Entry'!$A$2:$B$200,
            2,
            FALSE
        ),
        """" &amp;
        VLOOKUP(
            INDEX('Shared parameters'!$A$2:$A$200,
                   MATCH($A104,'Shared parameters'!$B$2:$B$200,0)
            ),
            'Data Entry'!$A$2:$B$200,
            2,
            FALSE
        ) &amp;
        """"
    ),
"")</f>
        <v>"Good sound absorption due to porous structure, reduces noise transmission and reverberation."</v>
      </c>
    </row>
    <row r="105" spans="1:4" ht="43.2" x14ac:dyDescent="0.3">
      <c r="A105" s="53" t="str">
        <f>INDEX(SharedParams[Name],ROW(B104))</f>
        <v>DPP_ASD_ComfortMaterial</v>
      </c>
      <c r="B105" s="53" t="str">
        <f>IFERROR(
   VLOOKUP(
      INDEX('Manual workflow'!$B$2:$B$200,
             MATCH($A105,'Manual workflow'!$A$2:$A$200,0)
      ),
      'Built In Parameter groups'!$A$2:$C$200,
      3,
      FALSE
   ),
"")</f>
        <v>PG_TEXT</v>
      </c>
      <c r="C105" s="53" t="str">
        <f>IFERROR(
   IF(
      VLOOKUP(
         INDEX('Shared parameters'!$A$2:$A$200,
                MATCH($A105,'Shared parameters'!$B$2:$B$200,0)
         ),
         'Parameter Categories'!$B$2:$G$200,
         6,
         FALSE
      )="x",
      "No",
      IF(
         VLOOKUP(
            INDEX('Shared parameters'!$A$2:$A$200,
                   MATCH($A105,'Shared parameters'!$B$2:$B$200,0)
            ),
            'Parameter Categories'!$B$2:$G$200,
            5,
            FALSE
         )="x",
         "Yes",
         ""
      )
   ),
"")</f>
        <v>No</v>
      </c>
      <c r="D105" s="55" t="str">
        <f>IFERROR(
    IF(
        ISNUMBER(
            VLOOKUP(
                INDEX('Shared parameters'!$A$2:$A$200,
                       MATCH($A105,'Shared parameters'!$B$2:$B$200,0)
                ),
                'Data Entry'!$A$2:$B$200,
                2,
                FALSE
            )
        ),
        VLOOKUP(
            INDEX('Shared parameters'!$A$2:$A$200,
                   MATCH($A105,'Shared parameters'!$B$2:$B$200,0)
            ),
            'Data Entry'!$A$2:$B$200,
            2,
            FALSE
        ),
        """" &amp;
        VLOOKUP(
            INDEX('Shared parameters'!$A$2:$A$200,
                   MATCH($A105,'Shared parameters'!$B$2:$B$200,0)
            ),
            'Data Entry'!$A$2:$B$200,
            2,
            FALSE
        ) &amp;
        """"
    ),
"")</f>
        <v>"Non-toxic, breathable, natural aesthetics, supports psychological well-being."</v>
      </c>
    </row>
    <row r="106" spans="1:4" x14ac:dyDescent="0.3">
      <c r="A106" s="53" t="str">
        <f>INDEX(SharedParams[Name],ROW(B105))</f>
        <v>DPP_ASD_Craft</v>
      </c>
      <c r="B106" s="53" t="str">
        <f>IFERROR(
   VLOOKUP(
      INDEX('Manual workflow'!$B$2:$B$200,
             MATCH($A106,'Manual workflow'!$A$2:$A$200,0)
      ),
      'Built In Parameter groups'!$A$2:$C$200,
      3,
      FALSE
   ),
"")</f>
        <v>PG_OTHER</v>
      </c>
      <c r="C106" s="53" t="str">
        <f>IFERROR(
   IF(
      VLOOKUP(
         INDEX('Shared parameters'!$A$2:$A$200,
                MATCH($A106,'Shared parameters'!$B$2:$B$200,0)
         ),
         'Parameter Categories'!$B$2:$G$200,
         6,
         FALSE
      )="x",
      "No",
      IF(
         VLOOKUP(
            INDEX('Shared parameters'!$A$2:$A$200,
                   MATCH($A106,'Shared parameters'!$B$2:$B$200,0)
            ),
            'Parameter Categories'!$B$2:$G$200,
            5,
            FALSE
         )="x",
         "Yes",
         ""
      )
   ),
"")</f>
        <v>Yes</v>
      </c>
      <c r="D106" s="55">
        <f>IFERROR(
    IF(
        ISNUMBER(
            VLOOKUP(
                INDEX('Shared parameters'!$A$2:$A$200,
                       MATCH($A106,'Shared parameters'!$B$2:$B$200,0)
                ),
                'Data Entry'!$A$2:$B$200,
                2,
                FALSE
            )
        ),
        VLOOKUP(
            INDEX('Shared parameters'!$A$2:$A$200,
                   MATCH($A106,'Shared parameters'!$B$2:$B$200,0)
            ),
            'Data Entry'!$A$2:$B$200,
            2,
            FALSE
        ),
        """" &amp;
        VLOOKUP(
            INDEX('Shared parameters'!$A$2:$A$200,
                   MATCH($A106,'Shared parameters'!$B$2:$B$200,0)
            ),
            'Data Entry'!$A$2:$B$200,
            2,
            FALSE
        ) &amp;
        """"
    ),
"")</f>
        <v>2</v>
      </c>
    </row>
    <row r="107" spans="1:4" x14ac:dyDescent="0.3">
      <c r="A107" s="53" t="str">
        <f>INDEX(SharedParams[Name],ROW(B106))</f>
        <v>DPP_ASD_Symbolism</v>
      </c>
      <c r="B107" s="53" t="str">
        <f>IFERROR(
   VLOOKUP(
      INDEX('Manual workflow'!$B$2:$B$200,
             MATCH($A107,'Manual workflow'!$A$2:$A$200,0)
      ),
      'Built In Parameter groups'!$A$2:$C$200,
      3,
      FALSE
   ),
"")</f>
        <v>PG_OTHER</v>
      </c>
      <c r="C107" s="53" t="str">
        <f>IFERROR(
   IF(
      VLOOKUP(
         INDEX('Shared parameters'!$A$2:$A$200,
                MATCH($A107,'Shared parameters'!$B$2:$B$200,0)
         ),
         'Parameter Categories'!$B$2:$G$200,
         6,
         FALSE
      )="x",
      "No",
      IF(
         VLOOKUP(
            INDEX('Shared parameters'!$A$2:$A$200,
                   MATCH($A107,'Shared parameters'!$B$2:$B$200,0)
            ),
            'Parameter Categories'!$B$2:$G$200,
            5,
            FALSE
         )="x",
         "Yes",
         ""
      )
   ),
"")</f>
        <v>Yes</v>
      </c>
      <c r="D107" s="55">
        <f>IFERROR(
    IF(
        ISNUMBER(
            VLOOKUP(
                INDEX('Shared parameters'!$A$2:$A$200,
                       MATCH($A107,'Shared parameters'!$B$2:$B$200,0)
                ),
                'Data Entry'!$A$2:$B$200,
                2,
                FALSE
            )
        ),
        VLOOKUP(
            INDEX('Shared parameters'!$A$2:$A$200,
                   MATCH($A107,'Shared parameters'!$B$2:$B$200,0)
            ),
            'Data Entry'!$A$2:$B$200,
            2,
            FALSE
        ),
        """" &amp;
        VLOOKUP(
            INDEX('Shared parameters'!$A$2:$A$200,
                   MATCH($A107,'Shared parameters'!$B$2:$B$200,0)
            ),
            'Data Entry'!$A$2:$B$200,
            2,
            FALSE
        ) &amp;
        """"
    ),
"")</f>
        <v>4</v>
      </c>
    </row>
    <row r="108" spans="1:4" x14ac:dyDescent="0.3">
      <c r="A108" s="53" t="str">
        <f>INDEX(SharedParams[Name],ROW(B107))</f>
        <v>DPP_COD_UnitCost_EUR</v>
      </c>
      <c r="B108" s="53" t="str">
        <f>IFERROR(
   VLOOKUP(
      INDEX('Manual workflow'!$B$2:$B$200,
             MATCH($A108,'Manual workflow'!$A$2:$A$200,0)
      ),
      'Built In Parameter groups'!$A$2:$C$200,
      3,
      FALSE
   ),
"")</f>
        <v>PG_DATA</v>
      </c>
      <c r="C108" s="53" t="str">
        <f>IFERROR(
   IF(
      VLOOKUP(
         INDEX('Shared parameters'!$A$2:$A$200,
                MATCH($A108,'Shared parameters'!$B$2:$B$200,0)
         ),
         'Parameter Categories'!$B$2:$G$200,
         6,
         FALSE
      )="x",
      "No",
      IF(
         VLOOKUP(
            INDEX('Shared parameters'!$A$2:$A$200,
                   MATCH($A108,'Shared parameters'!$B$2:$B$200,0)
            ),
            'Parameter Categories'!$B$2:$G$200,
            5,
            FALSE
         )="x",
         "Yes",
         ""
      )
   ),
"")</f>
        <v>No</v>
      </c>
      <c r="D108" s="55">
        <f>IFERROR(
    IF(
        ISNUMBER(
            VLOOKUP(
                INDEX('Shared parameters'!$A$2:$A$200,
                       MATCH($A108,'Shared parameters'!$B$2:$B$200,0)
                ),
                'Data Entry'!$A$2:$B$200,
                2,
                FALSE
            )
        ),
        VLOOKUP(
            INDEX('Shared parameters'!$A$2:$A$200,
                   MATCH($A108,'Shared parameters'!$B$2:$B$200,0)
            ),
            'Data Entry'!$A$2:$B$200,
            2,
            FALSE
        ),
        """" &amp;
        VLOOKUP(
            INDEX('Shared parameters'!$A$2:$A$200,
                   MATCH($A108,'Shared parameters'!$B$2:$B$200,0)
            ),
            'Data Entry'!$A$2:$B$200,
            2,
            FALSE
        ) &amp;
        """"
    ),
"")</f>
        <v>3.8</v>
      </c>
    </row>
    <row r="109" spans="1:4" x14ac:dyDescent="0.3">
      <c r="A109" s="53" t="str">
        <f>INDEX(SharedParams[Name],ROW(B108))</f>
        <v>DPP_COD_Assembly_EUR</v>
      </c>
      <c r="B109" s="53" t="str">
        <f>IFERROR(
   VLOOKUP(
      INDEX('Manual workflow'!$B$2:$B$200,
             MATCH($A109,'Manual workflow'!$A$2:$A$200,0)
      ),
      'Built In Parameter groups'!$A$2:$C$200,
      3,
      FALSE
   ),
"")</f>
        <v>PG_DATA</v>
      </c>
      <c r="C109" s="53" t="str">
        <f>IFERROR(
   IF(
      VLOOKUP(
         INDEX('Shared parameters'!$A$2:$A$200,
                MATCH($A109,'Shared parameters'!$B$2:$B$200,0)
         ),
         'Parameter Categories'!$B$2:$G$200,
         6,
         FALSE
      )="x",
      "No",
      IF(
         VLOOKUP(
            INDEX('Shared parameters'!$A$2:$A$200,
                   MATCH($A109,'Shared parameters'!$B$2:$B$200,0)
            ),
            'Parameter Categories'!$B$2:$G$200,
            5,
            FALSE
         )="x",
         "Yes",
         ""
      )
   ),
"")</f>
        <v>No</v>
      </c>
      <c r="D109" s="55">
        <f>IFERROR(
    IF(
        ISNUMBER(
            VLOOKUP(
                INDEX('Shared parameters'!$A$2:$A$200,
                       MATCH($A109,'Shared parameters'!$B$2:$B$200,0)
                ),
                'Data Entry'!$A$2:$B$200,
                2,
                FALSE
            )
        ),
        VLOOKUP(
            INDEX('Shared parameters'!$A$2:$A$200,
                   MATCH($A109,'Shared parameters'!$B$2:$B$200,0)
            ),
            'Data Entry'!$A$2:$B$200,
            2,
            FALSE
        ),
        """" &amp;
        VLOOKUP(
            INDEX('Shared parameters'!$A$2:$A$200,
                   MATCH($A109,'Shared parameters'!$B$2:$B$200,0)
            ),
            'Data Entry'!$A$2:$B$200,
            2,
            FALSE
        ) &amp;
        """"
    ),
"")</f>
        <v>30.4</v>
      </c>
    </row>
    <row r="110" spans="1:4" x14ac:dyDescent="0.3">
      <c r="A110" s="53" t="str">
        <f>INDEX(SharedParams[Name],ROW(B109))</f>
        <v>DPP_COD_Maintenance_EUR</v>
      </c>
      <c r="B110" s="53" t="str">
        <f>IFERROR(
   VLOOKUP(
      INDEX('Manual workflow'!$B$2:$B$200,
             MATCH($A110,'Manual workflow'!$A$2:$A$200,0)
      ),
      'Built In Parameter groups'!$A$2:$C$200,
      3,
      FALSE
   ),
"")</f>
        <v>PG_DATA</v>
      </c>
      <c r="C110" s="53" t="str">
        <f>IFERROR(
   IF(
      VLOOKUP(
         INDEX('Shared parameters'!$A$2:$A$200,
                MATCH($A110,'Shared parameters'!$B$2:$B$200,0)
         ),
         'Parameter Categories'!$B$2:$G$200,
         6,
         FALSE
      )="x",
      "No",
      IF(
         VLOOKUP(
            INDEX('Shared parameters'!$A$2:$A$200,
                   MATCH($A110,'Shared parameters'!$B$2:$B$200,0)
            ),
            'Parameter Categories'!$B$2:$G$200,
            5,
            FALSE
         )="x",
         "Yes",
         ""
      )
   ),
"")</f>
        <v>No</v>
      </c>
      <c r="D110" s="55">
        <f>IFERROR(
    IF(
        ISNUMBER(
            VLOOKUP(
                INDEX('Shared parameters'!$A$2:$A$200,
                       MATCH($A110,'Shared parameters'!$B$2:$B$200,0)
                ),
                'Data Entry'!$A$2:$B$200,
                2,
                FALSE
            )
        ),
        VLOOKUP(
            INDEX('Shared parameters'!$A$2:$A$200,
                   MATCH($A110,'Shared parameters'!$B$2:$B$200,0)
            ),
            'Data Entry'!$A$2:$B$200,
            2,
            FALSE
        ),
        """" &amp;
        VLOOKUP(
            INDEX('Shared parameters'!$A$2:$A$200,
                   MATCH($A110,'Shared parameters'!$B$2:$B$200,0)
            ),
            'Data Entry'!$A$2:$B$200,
            2,
            FALSE
        ) &amp;
        """"
    ),
"")</f>
        <v>30</v>
      </c>
    </row>
    <row r="111" spans="1:4" x14ac:dyDescent="0.3">
      <c r="A111" s="53" t="str">
        <f>INDEX(SharedParams[Name],ROW(B110))</f>
        <v>DPP_COD_CircularBenefit_EUR</v>
      </c>
      <c r="B111" s="53" t="str">
        <f>IFERROR(
   VLOOKUP(
      INDEX('Manual workflow'!$B$2:$B$200,
             MATCH($A111,'Manual workflow'!$A$2:$A$200,0)
      ),
      'Built In Parameter groups'!$A$2:$C$200,
      3,
      FALSE
   ),
"")</f>
        <v>PG_DATA</v>
      </c>
      <c r="C111" s="53" t="str">
        <f>IFERROR(
   IF(
      VLOOKUP(
         INDEX('Shared parameters'!$A$2:$A$200,
                MATCH($A111,'Shared parameters'!$B$2:$B$200,0)
         ),
         'Parameter Categories'!$B$2:$G$200,
         6,
         FALSE
      )="x",
      "No",
      IF(
         VLOOKUP(
            INDEX('Shared parameters'!$A$2:$A$200,
                   MATCH($A111,'Shared parameters'!$B$2:$B$200,0)
            ),
            'Parameter Categories'!$B$2:$G$200,
            5,
            FALSE
         )="x",
         "Yes",
         ""
      )
   ),
"")</f>
        <v>No</v>
      </c>
      <c r="D111" s="55">
        <f>IFERROR(
    IF(
        ISNUMBER(
            VLOOKUP(
                INDEX('Shared parameters'!$A$2:$A$200,
                       MATCH($A111,'Shared parameters'!$B$2:$B$200,0)
                ),
                'Data Entry'!$A$2:$B$200,
                2,
                FALSE
            )
        ),
        VLOOKUP(
            INDEX('Shared parameters'!$A$2:$A$200,
                   MATCH($A111,'Shared parameters'!$B$2:$B$200,0)
            ),
            'Data Entry'!$A$2:$B$200,
            2,
            FALSE
        ),
        """" &amp;
        VLOOKUP(
            INDEX('Shared parameters'!$A$2:$A$200,
                   MATCH($A111,'Shared parameters'!$B$2:$B$200,0)
            ),
            'Data Entry'!$A$2:$B$200,
            2,
            FALSE
        ) &amp;
        """"
    ),
"")</f>
        <v>0.39976</v>
      </c>
    </row>
    <row r="112" spans="1:4" x14ac:dyDescent="0.3">
      <c r="A112" s="53" t="str">
        <f>INDEX(SharedParams[Name],ROW(B111))</f>
        <v>DPP_COD_Replacement_EUR</v>
      </c>
      <c r="B112" s="53" t="str">
        <f>IFERROR(
   VLOOKUP(
      INDEX('Manual workflow'!$B$2:$B$200,
             MATCH($A112,'Manual workflow'!$A$2:$A$200,0)
      ),
      'Built In Parameter groups'!$A$2:$C$200,
      3,
      FALSE
   ),
"")</f>
        <v>PG_DATA</v>
      </c>
      <c r="C112" s="53" t="str">
        <f>IFERROR(
   IF(
      VLOOKUP(
         INDEX('Shared parameters'!$A$2:$A$200,
                MATCH($A112,'Shared parameters'!$B$2:$B$200,0)
         ),
         'Parameter Categories'!$B$2:$G$200,
         6,
         FALSE
      )="x",
      "No",
      IF(
         VLOOKUP(
            INDEX('Shared parameters'!$A$2:$A$200,
                   MATCH($A112,'Shared parameters'!$B$2:$B$200,0)
            ),
            'Parameter Categories'!$B$2:$G$200,
            5,
            FALSE
         )="x",
         "Yes",
         ""
      )
   ),
"")</f>
        <v>No</v>
      </c>
      <c r="D112" s="55">
        <f>IFERROR(
    IF(
        ISNUMBER(
            VLOOKUP(
                INDEX('Shared parameters'!$A$2:$A$200,
                       MATCH($A112,'Shared parameters'!$B$2:$B$200,0)
                ),
                'Data Entry'!$A$2:$B$200,
                2,
                FALSE
            )
        ),
        VLOOKUP(
            INDEX('Shared parameters'!$A$2:$A$200,
                   MATCH($A112,'Shared parameters'!$B$2:$B$200,0)
            ),
            'Data Entry'!$A$2:$B$200,
            2,
            FALSE
        ),
        """" &amp;
        VLOOKUP(
            INDEX('Shared parameters'!$A$2:$A$200,
                   MATCH($A112,'Shared parameters'!$B$2:$B$200,0)
            ),
            'Data Entry'!$A$2:$B$200,
            2,
            FALSE
        ) &amp;
        """"
    ),
"")</f>
        <v>3.4002399999999997</v>
      </c>
    </row>
    <row r="113" spans="1:4" x14ac:dyDescent="0.3">
      <c r="A113" s="53" t="str">
        <f>INDEX(SharedParams[Name],ROW(B112))</f>
        <v>DPP_COD_NPV_EUR</v>
      </c>
      <c r="B113" s="53" t="str">
        <f>IFERROR(
   VLOOKUP(
      INDEX('Manual workflow'!$B$2:$B$200,
             MATCH($A113,'Manual workflow'!$A$2:$A$200,0)
      ),
      'Built In Parameter groups'!$A$2:$C$200,
      3,
      FALSE
   ),
"")</f>
        <v>PG_DATA</v>
      </c>
      <c r="C113" s="53" t="str">
        <f>IFERROR(
   IF(
      VLOOKUP(
         INDEX('Shared parameters'!$A$2:$A$200,
                MATCH($A113,'Shared parameters'!$B$2:$B$200,0)
         ),
         'Parameter Categories'!$B$2:$G$200,
         6,
         FALSE
      )="x",
      "No",
      IF(
         VLOOKUP(
            INDEX('Shared parameters'!$A$2:$A$200,
                   MATCH($A113,'Shared parameters'!$B$2:$B$200,0)
            ),
            'Parameter Categories'!$B$2:$G$200,
            5,
            FALSE
         )="x",
         "Yes",
         ""
      )
   ),
"")</f>
        <v>No</v>
      </c>
      <c r="D113" s="55">
        <f>IFERROR(
    IF(
        ISNUMBER(
            VLOOKUP(
                INDEX('Shared parameters'!$A$2:$A$200,
                       MATCH($A113,'Shared parameters'!$B$2:$B$200,0)
                ),
                'Data Entry'!$A$2:$B$200,
                2,
                FALSE
            )
        ),
        VLOOKUP(
            INDEX('Shared parameters'!$A$2:$A$200,
                   MATCH($A113,'Shared parameters'!$B$2:$B$200,0)
            ),
            'Data Entry'!$A$2:$B$200,
            2,
            FALSE
        ),
        """" &amp;
        VLOOKUP(
            INDEX('Shared parameters'!$A$2:$A$200,
                   MATCH($A113,'Shared parameters'!$B$2:$B$200,0)
            ),
            'Data Entry'!$A$2:$B$200,
            2,
            FALSE
        ) &amp;
        """"
    ),
"")</f>
        <v>35.570751840116472</v>
      </c>
    </row>
    <row r="114" spans="1:4" x14ac:dyDescent="0.3">
      <c r="A114" s="53" t="str">
        <f>INDEX(SharedParams[Name],ROW(B113))</f>
        <v>DPP_COD_NS_EUR</v>
      </c>
      <c r="B114" s="53" t="str">
        <f>IFERROR(
   VLOOKUP(
      INDEX('Manual workflow'!$B$2:$B$200,
             MATCH($A114,'Manual workflow'!$A$2:$A$200,0)
      ),
      'Built In Parameter groups'!$A$2:$C$200,
      3,
      FALSE
   ),
"")</f>
        <v>PG_DATA</v>
      </c>
      <c r="C114" s="53" t="str">
        <f>IFERROR(
   IF(
      VLOOKUP(
         INDEX('Shared parameters'!$A$2:$A$200,
                MATCH($A114,'Shared parameters'!$B$2:$B$200,0)
         ),
         'Parameter Categories'!$B$2:$G$200,
         6,
         FALSE
      )="x",
      "No",
      IF(
         VLOOKUP(
            INDEX('Shared parameters'!$A$2:$A$200,
                   MATCH($A114,'Shared parameters'!$B$2:$B$200,0)
            ),
            'Parameter Categories'!$B$2:$G$200,
            5,
            FALSE
         )="x",
         "Yes",
         ""
      )
   ),
"")</f>
        <v>No</v>
      </c>
      <c r="D114" s="55">
        <f>IFERROR(
    IF(
        ISNUMBER(
            VLOOKUP(
                INDEX('Shared parameters'!$A$2:$A$200,
                       MATCH($A114,'Shared parameters'!$B$2:$B$200,0)
                ),
                'Data Entry'!$A$2:$B$200,
                2,
                FALSE
            )
        ),
        VLOOKUP(
            INDEX('Shared parameters'!$A$2:$A$200,
                   MATCH($A114,'Shared parameters'!$B$2:$B$200,0)
            ),
            'Data Entry'!$A$2:$B$200,
            2,
            FALSE
        ),
        """" &amp;
        VLOOKUP(
            INDEX('Shared parameters'!$A$2:$A$200,
                   MATCH($A114,'Shared parameters'!$B$2:$B$200,0)
            ),
            'Data Entry'!$A$2:$B$200,
            2,
            FALSE
        ) &amp;
        """"
    ),
"")</f>
        <v>232.208</v>
      </c>
    </row>
    <row r="115" spans="1:4" x14ac:dyDescent="0.3">
      <c r="A115" s="53" t="str">
        <f>INDEX(SharedParams[Name],ROW(B114))</f>
        <v>DPP_COD_PBP</v>
      </c>
      <c r="B115" s="53" t="str">
        <f>IFERROR(
   VLOOKUP(
      INDEX('Manual workflow'!$B$2:$B$200,
             MATCH($A115,'Manual workflow'!$A$2:$A$200,0)
      ),
      'Built In Parameter groups'!$A$2:$C$200,
      3,
      FALSE
   ),
"")</f>
        <v>PG_DATA</v>
      </c>
      <c r="C115" s="53" t="str">
        <f>IFERROR(
   IF(
      VLOOKUP(
         INDEX('Shared parameters'!$A$2:$A$200,
                MATCH($A115,'Shared parameters'!$B$2:$B$200,0)
         ),
         'Parameter Categories'!$B$2:$G$200,
         6,
         FALSE
      )="x",
      "No",
      IF(
         VLOOKUP(
            INDEX('Shared parameters'!$A$2:$A$200,
                   MATCH($A115,'Shared parameters'!$B$2:$B$200,0)
            ),
            'Parameter Categories'!$B$2:$G$200,
            5,
            FALSE
         )="x",
         "Yes",
         ""
      )
   ),
"")</f>
        <v>No</v>
      </c>
      <c r="D115" s="55">
        <f>IFERROR(
    IF(
        ISNUMBER(
            VLOOKUP(
                INDEX('Shared parameters'!$A$2:$A$200,
                       MATCH($A115,'Shared parameters'!$B$2:$B$200,0)
                ),
                'Data Entry'!$A$2:$B$200,
                2,
                FALSE
            )
        ),
        VLOOKUP(
            INDEX('Shared parameters'!$A$2:$A$200,
                   MATCH($A115,'Shared parameters'!$B$2:$B$200,0)
            ),
            'Data Entry'!$A$2:$B$200,
            2,
            FALSE
        ),
        """" &amp;
        VLOOKUP(
            INDEX('Shared parameters'!$A$2:$A$200,
                   MATCH($A115,'Shared parameters'!$B$2:$B$200,0)
            ),
            'Data Entry'!$A$2:$B$200,
            2,
            FALSE
        ) &amp;
        """"
    ),
"")</f>
        <v>12</v>
      </c>
    </row>
    <row r="116" spans="1:4" x14ac:dyDescent="0.3">
      <c r="A116" s="53" t="str">
        <f>INDEX(SharedParams[Name],ROW(B115))</f>
        <v>DPP_COD_BenefitCost</v>
      </c>
      <c r="B116" s="53" t="str">
        <f>IFERROR(
   VLOOKUP(
      INDEX('Manual workflow'!$B$2:$B$200,
             MATCH($A116,'Manual workflow'!$A$2:$A$200,0)
      ),
      'Built In Parameter groups'!$A$2:$C$200,
      3,
      FALSE
   ),
"")</f>
        <v>PG_DATA</v>
      </c>
      <c r="C116" s="53" t="str">
        <f>IFERROR(
   IF(
      VLOOKUP(
         INDEX('Shared parameters'!$A$2:$A$200,
                MATCH($A116,'Shared parameters'!$B$2:$B$200,0)
         ),
         'Parameter Categories'!$B$2:$G$200,
         6,
         FALSE
      )="x",
      "No",
      IF(
         VLOOKUP(
            INDEX('Shared parameters'!$A$2:$A$200,
                   MATCH($A116,'Shared parameters'!$B$2:$B$200,0)
            ),
            'Parameter Categories'!$B$2:$G$200,
            5,
            FALSE
         )="x",
         "Yes",
         ""
      )
   ),
"")</f>
        <v>No</v>
      </c>
      <c r="D116" s="55">
        <f>IFERROR(
    IF(
        ISNUMBER(
            VLOOKUP(
                INDEX('Shared parameters'!$A$2:$A$200,
                       MATCH($A116,'Shared parameters'!$B$2:$B$200,0)
                ),
                'Data Entry'!$A$2:$B$200,
                2,
                FALSE
            )
        ),
        VLOOKUP(
            INDEX('Shared parameters'!$A$2:$A$200,
                   MATCH($A116,'Shared parameters'!$B$2:$B$200,0)
            ),
            'Data Entry'!$A$2:$B$200,
            2,
            FALSE
        ),
        """" &amp;
        VLOOKUP(
            INDEX('Shared parameters'!$A$2:$A$200,
                   MATCH($A116,'Shared parameters'!$B$2:$B$200,0)
            ),
            'Data Entry'!$A$2:$B$200,
            2,
            FALSE
        ) &amp;
        """"
    ),
"")</f>
        <v>2.1330440709330962</v>
      </c>
    </row>
    <row r="117" spans="1:4" x14ac:dyDescent="0.3">
      <c r="A117" s="53" t="str">
        <f>INDEX(SharedParams[Name],ROW(B116))</f>
        <v>DPP_COD_LCC_EUR</v>
      </c>
      <c r="B117" s="53" t="str">
        <f>IFERROR(
   VLOOKUP(
      INDEX('Manual workflow'!$B$2:$B$200,
             MATCH($A117,'Manual workflow'!$A$2:$A$200,0)
      ),
      'Built In Parameter groups'!$A$2:$C$200,
      3,
      FALSE
   ),
"")</f>
        <v>PG_DATA</v>
      </c>
      <c r="C117" s="53" t="str">
        <f>IFERROR(
   IF(
      VLOOKUP(
         INDEX('Shared parameters'!$A$2:$A$200,
                MATCH($A117,'Shared parameters'!$B$2:$B$200,0)
         ),
         'Parameter Categories'!$B$2:$G$200,
         6,
         FALSE
      )="x",
      "No",
      IF(
         VLOOKUP(
            INDEX('Shared parameters'!$A$2:$A$200,
                   MATCH($A117,'Shared parameters'!$B$2:$B$200,0)
            ),
            'Parameter Categories'!$B$2:$G$200,
            5,
            FALSE
         )="x",
         "Yes",
         ""
      )
   ),
"")</f>
        <v>No</v>
      </c>
      <c r="D117" s="55">
        <f>IFERROR(
    IF(
        ISNUMBER(
            VLOOKUP(
                INDEX('Shared parameters'!$A$2:$A$200,
                       MATCH($A117,'Shared parameters'!$B$2:$B$200,0)
                ),
                'Data Entry'!$A$2:$B$200,
                2,
                FALSE
            )
        ),
        VLOOKUP(
            INDEX('Shared parameters'!$A$2:$A$200,
                   MATCH($A117,'Shared parameters'!$B$2:$B$200,0)
            ),
            'Data Entry'!$A$2:$B$200,
            2,
            FALSE
        ),
        """" &amp;
        VLOOKUP(
            INDEX('Shared parameters'!$A$2:$A$200,
                   MATCH($A117,'Shared parameters'!$B$2:$B$200,0)
            ),
            'Data Entry'!$A$2:$B$200,
            2,
            FALSE
        ) &amp;
        """"
    ),
"")</f>
        <v>47.376342833923765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7"/>
  <sheetViews>
    <sheetView tabSelected="1" zoomScaleNormal="100" workbookViewId="0">
      <selection activeCell="F108" sqref="F108"/>
    </sheetView>
  </sheetViews>
  <sheetFormatPr baseColWidth="10" defaultRowHeight="14.4" x14ac:dyDescent="0.3"/>
  <cols>
    <col min="1" max="1" width="34" style="150" customWidth="1"/>
    <col min="2" max="2" width="32.44140625" style="150" customWidth="1"/>
    <col min="3" max="3" width="33" style="150" customWidth="1"/>
    <col min="4" max="4" width="22.88671875" style="150" customWidth="1"/>
    <col min="5" max="5" width="18.21875" style="53" customWidth="1"/>
    <col min="6" max="6" width="23.109375" customWidth="1"/>
  </cols>
  <sheetData>
    <row r="1" spans="1:7" x14ac:dyDescent="0.3">
      <c r="A1" s="148" t="s">
        <v>778</v>
      </c>
      <c r="B1" s="148" t="s">
        <v>784</v>
      </c>
      <c r="C1" s="148" t="s">
        <v>785</v>
      </c>
      <c r="D1" s="148" t="s">
        <v>786</v>
      </c>
      <c r="E1" s="148" t="s">
        <v>811</v>
      </c>
      <c r="F1" s="148" t="s">
        <v>831</v>
      </c>
      <c r="G1" s="148" t="s">
        <v>832</v>
      </c>
    </row>
    <row r="2" spans="1:7" x14ac:dyDescent="0.3">
      <c r="A2" s="150" t="str">
        <f>INDEX(SharedParams[Name],ROW(B1))</f>
        <v>DPP_AUT_Name</v>
      </c>
      <c r="B2" s="150" t="s">
        <v>230</v>
      </c>
      <c r="C2" s="150" t="s">
        <v>816</v>
      </c>
      <c r="D2"/>
      <c r="E2" s="150" t="s">
        <v>14</v>
      </c>
      <c r="F2" s="150" t="s">
        <v>833</v>
      </c>
    </row>
    <row r="3" spans="1:7" x14ac:dyDescent="0.3">
      <c r="A3" s="150" t="str">
        <f>INDEX(SharedParams[Name],ROW(B2))</f>
        <v>DPP_AUT_ID</v>
      </c>
      <c r="B3" s="150" t="s">
        <v>788</v>
      </c>
      <c r="C3" s="150" t="s">
        <v>816</v>
      </c>
      <c r="D3" s="53"/>
      <c r="E3" s="150" t="s">
        <v>812</v>
      </c>
      <c r="F3" s="150" t="s">
        <v>834</v>
      </c>
    </row>
    <row r="4" spans="1:7" x14ac:dyDescent="0.3">
      <c r="A4" s="150" t="str">
        <f>INDEX(SharedParams[Name],ROW(B3))</f>
        <v>DPP_AUT_Image</v>
      </c>
      <c r="B4" s="150" t="s">
        <v>789</v>
      </c>
      <c r="C4" s="150" t="s">
        <v>817</v>
      </c>
      <c r="D4" s="53"/>
      <c r="E4" s="150"/>
      <c r="F4" t="s">
        <v>835</v>
      </c>
    </row>
    <row r="5" spans="1:7" x14ac:dyDescent="0.3">
      <c r="A5" s="150" t="str">
        <f>INDEX(SharedParams[Name],ROW(B4))</f>
        <v>DPP_AUT_GUID</v>
      </c>
      <c r="B5" s="150" t="s">
        <v>790</v>
      </c>
      <c r="C5" t="s">
        <v>816</v>
      </c>
      <c r="D5" s="53"/>
      <c r="E5" s="150" t="s">
        <v>812</v>
      </c>
      <c r="F5" s="150" t="s">
        <v>836</v>
      </c>
    </row>
    <row r="6" spans="1:7" x14ac:dyDescent="0.3">
      <c r="A6" s="150" t="str">
        <f>INDEX(SharedParams[Name],ROW(B5))</f>
        <v>DPP_AUT_MaterialType</v>
      </c>
      <c r="B6" s="150" t="s">
        <v>801</v>
      </c>
      <c r="C6" s="150" t="s">
        <v>818</v>
      </c>
      <c r="D6" s="53"/>
      <c r="E6" s="150" t="s">
        <v>14</v>
      </c>
      <c r="F6" s="150" t="s">
        <v>849</v>
      </c>
    </row>
    <row r="7" spans="1:7" x14ac:dyDescent="0.3">
      <c r="A7" s="150" t="str">
        <f>INDEX(SharedParams[Name],ROW(B6))</f>
        <v>DPP_AUT_Manufacturer</v>
      </c>
      <c r="B7" s="150" t="s">
        <v>787</v>
      </c>
      <c r="C7" t="s">
        <v>797</v>
      </c>
      <c r="D7" s="53"/>
      <c r="E7" s="150" t="s">
        <v>14</v>
      </c>
      <c r="F7" s="150" t="s">
        <v>838</v>
      </c>
    </row>
    <row r="8" spans="1:7" x14ac:dyDescent="0.3">
      <c r="A8" s="150" t="str">
        <f>INDEX(SharedParams[Name],ROW(B7))</f>
        <v>DPP_AUT_Manufacturer_URL</v>
      </c>
      <c r="B8" s="150" t="s">
        <v>802</v>
      </c>
      <c r="C8" t="s">
        <v>797</v>
      </c>
      <c r="D8" s="53"/>
      <c r="E8" s="150" t="s">
        <v>14</v>
      </c>
      <c r="F8" s="150" t="s">
        <v>839</v>
      </c>
    </row>
    <row r="9" spans="1:7" x14ac:dyDescent="0.3">
      <c r="A9" s="150" t="str">
        <f>INDEX(SharedParams[Name],ROW(B8))</f>
        <v>DPP_AUT_Distribuitor</v>
      </c>
      <c r="C9" s="150" t="s">
        <v>819</v>
      </c>
      <c r="D9" s="53" t="s">
        <v>799</v>
      </c>
      <c r="E9" s="150" t="s">
        <v>14</v>
      </c>
      <c r="F9" s="150" t="s">
        <v>840</v>
      </c>
    </row>
    <row r="10" spans="1:7" x14ac:dyDescent="0.3">
      <c r="A10" s="150" t="str">
        <f>INDEX(SharedParams[Name],ROW(B9))</f>
        <v>DPP_AUT_Distribuitor_URL</v>
      </c>
      <c r="C10" s="150" t="s">
        <v>819</v>
      </c>
      <c r="D10" s="53" t="s">
        <v>799</v>
      </c>
      <c r="E10" s="150" t="s">
        <v>14</v>
      </c>
      <c r="F10" s="150" t="s">
        <v>839</v>
      </c>
    </row>
    <row r="11" spans="1:7" x14ac:dyDescent="0.3">
      <c r="A11" s="150" t="str">
        <f>INDEX(SharedParams[Name],ROW(B10))</f>
        <v>DPP_AUR_Supplier</v>
      </c>
      <c r="C11" s="150" t="s">
        <v>819</v>
      </c>
      <c r="D11" s="53" t="s">
        <v>799</v>
      </c>
      <c r="E11" s="150" t="s">
        <v>14</v>
      </c>
      <c r="F11" s="150" t="s">
        <v>841</v>
      </c>
    </row>
    <row r="12" spans="1:7" x14ac:dyDescent="0.3">
      <c r="A12" s="150" t="str">
        <f>INDEX(SharedParams[Name],ROW(B11))</f>
        <v>DPP_AUR_Supplier_URL</v>
      </c>
      <c r="C12" s="150" t="s">
        <v>819</v>
      </c>
      <c r="D12" s="53" t="s">
        <v>799</v>
      </c>
      <c r="E12" s="150" t="s">
        <v>14</v>
      </c>
      <c r="F12" s="150" t="s">
        <v>839</v>
      </c>
    </row>
    <row r="13" spans="1:7" x14ac:dyDescent="0.3">
      <c r="A13" s="150" t="str">
        <f>INDEX(SharedParams[Name],ROW(B12))</f>
        <v>DPP_AUT_TransRoute</v>
      </c>
      <c r="C13" s="150" t="s">
        <v>819</v>
      </c>
      <c r="D13" s="53" t="s">
        <v>799</v>
      </c>
      <c r="E13" s="150" t="s">
        <v>14</v>
      </c>
      <c r="F13" s="150" t="s">
        <v>846</v>
      </c>
    </row>
    <row r="14" spans="1:7" x14ac:dyDescent="0.3">
      <c r="A14" s="150" t="str">
        <f>INDEX(SharedParams[Name],ROW(B13))</f>
        <v>DPP_AUT_Traceability</v>
      </c>
      <c r="C14" s="150" t="s">
        <v>819</v>
      </c>
      <c r="D14" s="53" t="s">
        <v>799</v>
      </c>
      <c r="E14" s="150" t="s">
        <v>812</v>
      </c>
      <c r="F14" t="s">
        <v>848</v>
      </c>
    </row>
    <row r="15" spans="1:7" x14ac:dyDescent="0.3">
      <c r="A15" s="150" t="str">
        <f>INDEX(SharedParams[Name],ROW(B14))</f>
        <v>DPP_AUT_Origin</v>
      </c>
      <c r="C15" s="53" t="s">
        <v>797</v>
      </c>
      <c r="D15" s="53"/>
      <c r="E15" s="150" t="s">
        <v>14</v>
      </c>
      <c r="F15" s="150" t="s">
        <v>847</v>
      </c>
    </row>
    <row r="16" spans="1:7" x14ac:dyDescent="0.3">
      <c r="A16" s="150" t="str">
        <f>INDEX(SharedParams[Name],ROW(B15))</f>
        <v>DPP_AUT_Version</v>
      </c>
      <c r="B16" s="150" t="s">
        <v>791</v>
      </c>
      <c r="C16" s="53" t="s">
        <v>797</v>
      </c>
      <c r="D16" s="53"/>
      <c r="E16" s="150" t="s">
        <v>14</v>
      </c>
    </row>
    <row r="17" spans="1:6" x14ac:dyDescent="0.3">
      <c r="A17" s="150" t="str">
        <f>INDEX(SharedParams[Name],ROW(B16))</f>
        <v>DPP_MAT_Material</v>
      </c>
      <c r="B17" s="150" t="s">
        <v>792</v>
      </c>
      <c r="C17" s="150" t="s">
        <v>818</v>
      </c>
      <c r="D17" s="53"/>
      <c r="E17" s="150" t="s">
        <v>14</v>
      </c>
      <c r="F17" s="150" t="s">
        <v>837</v>
      </c>
    </row>
    <row r="18" spans="1:6" x14ac:dyDescent="0.3">
      <c r="A18" s="150" t="str">
        <f>INDEX(SharedParams[Name],ROW(B17))</f>
        <v>DPP_MAT_Components</v>
      </c>
      <c r="C18" s="150" t="s">
        <v>819</v>
      </c>
      <c r="D18" s="53" t="s">
        <v>799</v>
      </c>
      <c r="E18" s="150" t="s">
        <v>14</v>
      </c>
      <c r="F18" s="150" t="s">
        <v>850</v>
      </c>
    </row>
    <row r="19" spans="1:6" x14ac:dyDescent="0.3">
      <c r="A19" s="150" t="str">
        <f>INDEX(SharedParams[Name],ROW(B18))</f>
        <v>DPP_MAT_Composition</v>
      </c>
      <c r="B19" s="150" t="s">
        <v>803</v>
      </c>
      <c r="C19" s="150" t="s">
        <v>818</v>
      </c>
      <c r="D19" s="53"/>
      <c r="E19" s="150" t="s">
        <v>14</v>
      </c>
      <c r="F19" s="150" t="s">
        <v>851</v>
      </c>
    </row>
    <row r="20" spans="1:6" x14ac:dyDescent="0.3">
      <c r="A20" s="150" t="str">
        <f>INDEX(SharedParams[Name],ROW(B19))</f>
        <v>DPP_AUT_TypeDimension</v>
      </c>
      <c r="B20" s="150" t="s">
        <v>804</v>
      </c>
      <c r="C20" s="150" t="s">
        <v>816</v>
      </c>
      <c r="D20" s="53"/>
      <c r="E20" s="150" t="s">
        <v>14</v>
      </c>
      <c r="F20" s="150" t="s">
        <v>852</v>
      </c>
    </row>
    <row r="21" spans="1:6" x14ac:dyDescent="0.3">
      <c r="A21" s="150" t="str">
        <f>INDEX(SharedParams[Name],ROW(B20))</f>
        <v>DPP_DIM_Height_mm</v>
      </c>
      <c r="B21" s="150" t="s">
        <v>44</v>
      </c>
      <c r="C21" t="s">
        <v>800</v>
      </c>
      <c r="D21" s="53"/>
      <c r="E21" s="150" t="s">
        <v>47</v>
      </c>
      <c r="F21" s="150" t="s">
        <v>854</v>
      </c>
    </row>
    <row r="22" spans="1:6" x14ac:dyDescent="0.3">
      <c r="A22" s="150" t="str">
        <f>INDEX(SharedParams[Name],ROW(B21))</f>
        <v>DPP_DIM_Length_mm</v>
      </c>
      <c r="B22" s="150" t="s">
        <v>47</v>
      </c>
      <c r="C22" t="s">
        <v>800</v>
      </c>
      <c r="D22" s="53"/>
      <c r="E22" s="150" t="s">
        <v>47</v>
      </c>
      <c r="F22" s="150" t="s">
        <v>853</v>
      </c>
    </row>
    <row r="23" spans="1:6" x14ac:dyDescent="0.3">
      <c r="A23" s="150" t="str">
        <f>INDEX(SharedParams[Name],ROW(B22))</f>
        <v>DPP_DIM_Width_mm</v>
      </c>
      <c r="B23" s="150" t="s">
        <v>49</v>
      </c>
      <c r="C23" t="s">
        <v>800</v>
      </c>
      <c r="D23" s="53"/>
      <c r="E23" s="150" t="s">
        <v>47</v>
      </c>
      <c r="F23" s="150" t="s">
        <v>855</v>
      </c>
    </row>
    <row r="24" spans="1:6" x14ac:dyDescent="0.3">
      <c r="A24" s="150" t="str">
        <f>INDEX(SharedParams[Name],ROW(B23))</f>
        <v>DPP_DIM_Volume_m3</v>
      </c>
      <c r="B24" s="150" t="s">
        <v>51</v>
      </c>
      <c r="C24" s="53" t="s">
        <v>800</v>
      </c>
      <c r="D24" s="53"/>
      <c r="E24" s="150" t="s">
        <v>51</v>
      </c>
      <c r="F24" s="150" t="s">
        <v>856</v>
      </c>
    </row>
    <row r="25" spans="1:6" x14ac:dyDescent="0.3">
      <c r="A25" s="150" t="str">
        <f>INDEX(SharedParams[Name],ROW(B24))</f>
        <v>DPP_DAT_DryDensity_kgm3</v>
      </c>
      <c r="B25" s="150" t="s">
        <v>793</v>
      </c>
      <c r="C25" t="s">
        <v>798</v>
      </c>
      <c r="D25" s="53"/>
      <c r="E25" s="150" t="s">
        <v>813</v>
      </c>
      <c r="F25" s="150" t="s">
        <v>858</v>
      </c>
    </row>
    <row r="26" spans="1:6" x14ac:dyDescent="0.3">
      <c r="A26" s="150" t="str">
        <f>INDEX(SharedParams[Name],ROW(B25))</f>
        <v>DPP_DAT_EqDensity_kgm3</v>
      </c>
      <c r="B26" s="150" t="s">
        <v>796</v>
      </c>
      <c r="C26" t="s">
        <v>798</v>
      </c>
      <c r="D26" s="53"/>
      <c r="E26" s="150" t="s">
        <v>813</v>
      </c>
      <c r="F26" s="150" t="s">
        <v>858</v>
      </c>
    </row>
    <row r="27" spans="1:6" x14ac:dyDescent="0.3">
      <c r="A27" s="150" t="str">
        <f>INDEX(SharedParams[Name],ROW(B26))</f>
        <v>DPP_DAT_Weight_kg</v>
      </c>
      <c r="B27" s="150" t="s">
        <v>57</v>
      </c>
      <c r="C27" s="53" t="s">
        <v>798</v>
      </c>
      <c r="D27" s="53"/>
      <c r="E27" s="150" t="s">
        <v>814</v>
      </c>
      <c r="F27" s="150" t="s">
        <v>857</v>
      </c>
    </row>
    <row r="28" spans="1:6" x14ac:dyDescent="0.3">
      <c r="A28" s="150" t="str">
        <f>INDEX(SharedParams[Name],ROW(B27))</f>
        <v>DPP_DAT_CompressiveStrenght_Mpa</v>
      </c>
      <c r="B28" s="150" t="s">
        <v>794</v>
      </c>
      <c r="C28" t="s">
        <v>798</v>
      </c>
      <c r="D28" s="53"/>
      <c r="E28" s="150" t="s">
        <v>813</v>
      </c>
      <c r="F28" s="150" t="s">
        <v>859</v>
      </c>
    </row>
    <row r="29" spans="1:6" x14ac:dyDescent="0.3">
      <c r="A29" s="150" t="str">
        <f>INDEX(SharedParams[Name],ROW(B28))</f>
        <v>DPP_DAT_ShearStrenght_Mpa</v>
      </c>
      <c r="B29" s="150" t="s">
        <v>805</v>
      </c>
      <c r="C29" s="53" t="s">
        <v>798</v>
      </c>
      <c r="D29" s="53"/>
      <c r="E29" s="150" t="s">
        <v>813</v>
      </c>
      <c r="F29" s="150" t="s">
        <v>860</v>
      </c>
    </row>
    <row r="30" spans="1:6" x14ac:dyDescent="0.3">
      <c r="A30" s="150" t="str">
        <f>INDEX(SharedParams[Name],ROW(B29))</f>
        <v>DPP_DAT_ThermalConductivity_WmK</v>
      </c>
      <c r="B30" s="150" t="s">
        <v>795</v>
      </c>
      <c r="C30" t="s">
        <v>798</v>
      </c>
      <c r="D30" s="53"/>
      <c r="E30" s="150" t="s">
        <v>813</v>
      </c>
      <c r="F30" s="150" t="s">
        <v>861</v>
      </c>
    </row>
    <row r="31" spans="1:6" x14ac:dyDescent="0.3">
      <c r="A31" s="150" t="str">
        <f>INDEX(SharedParams[Name],ROW(B30))</f>
        <v>DPP_DAT_Uvalue_Wm2K</v>
      </c>
      <c r="B31" s="150" t="s">
        <v>806</v>
      </c>
      <c r="C31" s="53" t="s">
        <v>798</v>
      </c>
      <c r="D31" s="53"/>
      <c r="E31" s="150" t="s">
        <v>813</v>
      </c>
      <c r="F31" s="150"/>
    </row>
    <row r="32" spans="1:6" x14ac:dyDescent="0.3">
      <c r="A32" s="150" t="str">
        <f>INDEX(SharedParams[Name],ROW(B31))</f>
        <v>DPP_DAT_SpeHeatCap_JkgK</v>
      </c>
      <c r="B32" s="150" t="s">
        <v>806</v>
      </c>
      <c r="C32" s="53" t="s">
        <v>798</v>
      </c>
      <c r="D32" s="53"/>
      <c r="E32" s="150" t="s">
        <v>813</v>
      </c>
      <c r="F32" s="150" t="s">
        <v>860</v>
      </c>
    </row>
    <row r="33" spans="1:6" x14ac:dyDescent="0.3">
      <c r="A33" s="150" t="str">
        <f>INDEX(SharedParams[Name],ROW(B32))</f>
        <v>DPP_DAT_PhaseShift_Hours</v>
      </c>
      <c r="C33" s="53" t="s">
        <v>798</v>
      </c>
      <c r="D33" s="53"/>
      <c r="E33" s="150" t="s">
        <v>813</v>
      </c>
      <c r="F33" s="150" t="s">
        <v>864</v>
      </c>
    </row>
    <row r="34" spans="1:6" x14ac:dyDescent="0.3">
      <c r="A34" s="150" t="str">
        <f>INDEX(SharedParams[Name],ROW(B33))</f>
        <v>DPP_DAT_MoistureBuffer_m2%HR</v>
      </c>
      <c r="C34" s="150" t="s">
        <v>819</v>
      </c>
      <c r="D34" s="53" t="s">
        <v>799</v>
      </c>
      <c r="E34" s="150" t="s">
        <v>813</v>
      </c>
      <c r="F34" s="150" t="s">
        <v>862</v>
      </c>
    </row>
    <row r="35" spans="1:6" x14ac:dyDescent="0.3">
      <c r="A35" s="150" t="str">
        <f>INDEX(SharedParams[Name],ROW(B34))</f>
        <v>DPP_DAT_VaporDiffμ_wet</v>
      </c>
      <c r="C35" s="53" t="s">
        <v>820</v>
      </c>
      <c r="D35" s="53"/>
      <c r="E35" s="150" t="s">
        <v>813</v>
      </c>
      <c r="F35" s="150" t="s">
        <v>863</v>
      </c>
    </row>
    <row r="36" spans="1:6" x14ac:dyDescent="0.3">
      <c r="A36" s="150" t="str">
        <f>INDEX(SharedParams[Name],ROW(B35))</f>
        <v>DPP_DAT_VaporDiffμ_dry</v>
      </c>
      <c r="C36" s="53" t="s">
        <v>820</v>
      </c>
      <c r="D36" s="53"/>
      <c r="E36" s="150" t="s">
        <v>813</v>
      </c>
      <c r="F36" s="150" t="s">
        <v>863</v>
      </c>
    </row>
    <row r="37" spans="1:6" x14ac:dyDescent="0.3">
      <c r="A37" s="150" t="str">
        <f>INDEX(SharedParams[Name],ROW(B36))</f>
        <v>DPP_DAT_VaporAbsorption</v>
      </c>
      <c r="C37" s="53" t="s">
        <v>820</v>
      </c>
      <c r="D37" s="53"/>
      <c r="E37" s="150" t="s">
        <v>813</v>
      </c>
      <c r="F37" s="150" t="s">
        <v>865</v>
      </c>
    </row>
    <row r="38" spans="1:6" x14ac:dyDescent="0.3">
      <c r="A38" s="150" t="str">
        <f>INDEX(SharedParams[Name],ROW(B37))</f>
        <v>DPP_DAT_StandarCompliance</v>
      </c>
      <c r="B38" s="150" t="s">
        <v>807</v>
      </c>
      <c r="C38" s="150" t="s">
        <v>821</v>
      </c>
      <c r="D38" s="53"/>
      <c r="E38" s="150" t="s">
        <v>81</v>
      </c>
      <c r="F38" s="150" t="s">
        <v>896</v>
      </c>
    </row>
    <row r="39" spans="1:6" x14ac:dyDescent="0.3">
      <c r="A39" s="150" t="str">
        <f>INDEX(SharedParams[Name],ROW(B38))</f>
        <v>DPP_CIR_ConnectionType</v>
      </c>
      <c r="C39" s="150" t="s">
        <v>819</v>
      </c>
      <c r="D39" s="53" t="s">
        <v>799</v>
      </c>
      <c r="E39" s="150" t="s">
        <v>14</v>
      </c>
    </row>
    <row r="40" spans="1:6" x14ac:dyDescent="0.3">
      <c r="A40" s="150" t="str">
        <f>INDEX(SharedParams[Name],ROW(B39))</f>
        <v>DPP_CIR_ConnectionScore</v>
      </c>
      <c r="C40" s="150" t="s">
        <v>819</v>
      </c>
      <c r="D40" s="53" t="s">
        <v>799</v>
      </c>
      <c r="E40" s="150" t="s">
        <v>813</v>
      </c>
      <c r="F40" s="150"/>
    </row>
    <row r="41" spans="1:6" x14ac:dyDescent="0.3">
      <c r="A41" s="150" t="str">
        <f>INDEX(SharedParams[Name],ROW(B40))</f>
        <v>DPP_CIR_Prefabrication</v>
      </c>
      <c r="C41" s="150" t="s">
        <v>819</v>
      </c>
      <c r="D41" s="53" t="s">
        <v>799</v>
      </c>
      <c r="E41" s="150" t="s">
        <v>81</v>
      </c>
      <c r="F41" s="150" t="s">
        <v>867</v>
      </c>
    </row>
    <row r="42" spans="1:6" x14ac:dyDescent="0.3">
      <c r="A42" s="150" t="str">
        <f>INDEX(SharedParams[Name],ROW(B41))</f>
        <v>DPP_CIR_PrefabricationFactor</v>
      </c>
      <c r="C42" s="150" t="s">
        <v>819</v>
      </c>
      <c r="D42" s="53" t="s">
        <v>799</v>
      </c>
      <c r="E42" s="150" t="s">
        <v>813</v>
      </c>
      <c r="F42" s="150" t="s">
        <v>867</v>
      </c>
    </row>
    <row r="43" spans="1:6" x14ac:dyDescent="0.3">
      <c r="A43" s="150" t="str">
        <f>INDEX(SharedParams[Name],ROW(B42))</f>
        <v>DPP_CIR_DeconstructabilityScore</v>
      </c>
      <c r="C43" s="150" t="s">
        <v>819</v>
      </c>
      <c r="D43" s="53" t="s">
        <v>799</v>
      </c>
      <c r="E43" s="150" t="s">
        <v>813</v>
      </c>
      <c r="F43" s="150" t="s">
        <v>866</v>
      </c>
    </row>
    <row r="44" spans="1:6" x14ac:dyDescent="0.3">
      <c r="A44" s="150" t="str">
        <f>INDEX(SharedParams[Name],ROW(B43))</f>
        <v>DPP_CIR_RecyclingPotential</v>
      </c>
      <c r="C44" s="150" t="s">
        <v>819</v>
      </c>
      <c r="D44" s="53" t="s">
        <v>799</v>
      </c>
      <c r="E44" s="150" t="s">
        <v>813</v>
      </c>
      <c r="F44" s="150" t="s">
        <v>868</v>
      </c>
    </row>
    <row r="45" spans="1:6" x14ac:dyDescent="0.3">
      <c r="A45" s="150" t="str">
        <f>INDEX(SharedParams[Name],ROW(B44))</f>
        <v>DPP_CIR_Reusability</v>
      </c>
      <c r="C45" s="150" t="s">
        <v>819</v>
      </c>
      <c r="D45" s="53" t="s">
        <v>799</v>
      </c>
      <c r="E45" s="150" t="s">
        <v>81</v>
      </c>
      <c r="F45" s="150" t="s">
        <v>870</v>
      </c>
    </row>
    <row r="46" spans="1:6" x14ac:dyDescent="0.3">
      <c r="A46" s="150" t="str">
        <f>INDEX(SharedParams[Name],ROW(B45))</f>
        <v>DPP_CIR_ReusabilityPotential</v>
      </c>
      <c r="C46" s="150" t="s">
        <v>819</v>
      </c>
      <c r="D46" s="53" t="s">
        <v>799</v>
      </c>
      <c r="E46" s="150" t="s">
        <v>813</v>
      </c>
      <c r="F46" s="150" t="s">
        <v>869</v>
      </c>
    </row>
    <row r="47" spans="1:6" x14ac:dyDescent="0.3">
      <c r="A47" s="150" t="str">
        <f>INDEX(SharedParams[Name],ROW(B46))</f>
        <v>DPP_CIR_RecoveryScore</v>
      </c>
      <c r="C47" s="150" t="s">
        <v>819</v>
      </c>
      <c r="D47" s="53" t="s">
        <v>799</v>
      </c>
      <c r="E47" s="150" t="s">
        <v>813</v>
      </c>
      <c r="F47" s="150" t="s">
        <v>872</v>
      </c>
    </row>
    <row r="48" spans="1:6" x14ac:dyDescent="0.3">
      <c r="A48" s="150" t="str">
        <f>INDEX(SharedParams[Name],ROW(B47))</f>
        <v>DPP_CIR_Disassemblypotential</v>
      </c>
      <c r="C48" s="150" t="s">
        <v>819</v>
      </c>
      <c r="D48" s="53" t="s">
        <v>799</v>
      </c>
      <c r="E48" s="150" t="s">
        <v>813</v>
      </c>
      <c r="F48" s="150" t="s">
        <v>873</v>
      </c>
    </row>
    <row r="49" spans="1:6" x14ac:dyDescent="0.3">
      <c r="A49" s="150" t="str">
        <f>INDEX(SharedParams[Name],ROW(B48))</f>
        <v>DPP_CIR_DisassemblyInstructions</v>
      </c>
      <c r="C49" s="150" t="s">
        <v>819</v>
      </c>
      <c r="D49" s="53" t="s">
        <v>799</v>
      </c>
      <c r="E49" s="150" t="s">
        <v>14</v>
      </c>
      <c r="F49" s="150" t="s">
        <v>874</v>
      </c>
    </row>
    <row r="50" spans="1:6" x14ac:dyDescent="0.3">
      <c r="A50" s="150" t="str">
        <f>INDEX(SharedParams[Name],ROW(B49))</f>
        <v>DPP_CIR_SecondaryUse</v>
      </c>
      <c r="C50" s="150" t="s">
        <v>819</v>
      </c>
      <c r="D50" s="53" t="s">
        <v>799</v>
      </c>
      <c r="E50" s="150" t="s">
        <v>14</v>
      </c>
      <c r="F50" s="150"/>
    </row>
    <row r="51" spans="1:6" x14ac:dyDescent="0.3">
      <c r="A51" s="150" t="str">
        <f>INDEX(SharedParams[Name],ROW(B50))</f>
        <v>DPP_CIR_EndofLifeRecomendations</v>
      </c>
      <c r="C51" s="150" t="s">
        <v>822</v>
      </c>
      <c r="D51" s="53"/>
      <c r="E51" s="150" t="s">
        <v>14</v>
      </c>
      <c r="F51" s="150"/>
    </row>
    <row r="52" spans="1:6" x14ac:dyDescent="0.3">
      <c r="A52" s="150" t="str">
        <f>INDEX(SharedParams[Name],ROW(B51))</f>
        <v>DPP_END_EPD</v>
      </c>
      <c r="C52" s="150" t="s">
        <v>822</v>
      </c>
      <c r="D52" s="53"/>
      <c r="E52" s="150" t="s">
        <v>81</v>
      </c>
      <c r="F52" s="150" t="s">
        <v>888</v>
      </c>
    </row>
    <row r="53" spans="1:6" x14ac:dyDescent="0.3">
      <c r="A53" s="150" t="str">
        <f>INDEX(SharedParams[Name],ROW(B52))</f>
        <v>DPP_END_EPD_URL</v>
      </c>
      <c r="C53" s="150" t="s">
        <v>822</v>
      </c>
      <c r="D53" s="53"/>
      <c r="E53" s="150" t="s">
        <v>14</v>
      </c>
      <c r="F53" s="150" t="s">
        <v>839</v>
      </c>
    </row>
    <row r="54" spans="1:6" x14ac:dyDescent="0.3">
      <c r="A54" s="150" t="str">
        <f>INDEX(SharedParams[Name],ROW(B53))</f>
        <v>DPP_END_GWP_kgCO₂eq</v>
      </c>
      <c r="C54" s="150" t="s">
        <v>823</v>
      </c>
      <c r="D54" s="53"/>
      <c r="E54" s="150" t="s">
        <v>813</v>
      </c>
      <c r="F54" t="s">
        <v>876</v>
      </c>
    </row>
    <row r="55" spans="1:6" x14ac:dyDescent="0.3">
      <c r="A55" s="150" t="str">
        <f>INDEX(SharedParams[Name],ROW(B54))</f>
        <v>DPP_END_PEI_MJKg</v>
      </c>
      <c r="C55" s="150" t="s">
        <v>823</v>
      </c>
      <c r="D55" s="53"/>
      <c r="E55" s="150" t="s">
        <v>813</v>
      </c>
      <c r="F55" s="150" t="s">
        <v>875</v>
      </c>
    </row>
    <row r="56" spans="1:6" x14ac:dyDescent="0.3">
      <c r="A56" s="150" t="str">
        <f>INDEX(SharedParams[Name],ROW(B55))</f>
        <v>DPP_END_PERT_MJKg</v>
      </c>
      <c r="C56" s="150" t="s">
        <v>823</v>
      </c>
      <c r="D56" s="53"/>
      <c r="E56" s="150" t="s">
        <v>813</v>
      </c>
      <c r="F56" s="150" t="s">
        <v>878</v>
      </c>
    </row>
    <row r="57" spans="1:6" x14ac:dyDescent="0.3">
      <c r="A57" s="150" t="str">
        <f>INDEX(SharedParams[Name],ROW(B56))</f>
        <v>DPP_END_PENRT_MJKg</v>
      </c>
      <c r="C57" s="150" t="s">
        <v>823</v>
      </c>
      <c r="D57" s="53"/>
      <c r="E57" s="150" t="s">
        <v>813</v>
      </c>
      <c r="F57" s="150" t="s">
        <v>877</v>
      </c>
    </row>
    <row r="58" spans="1:6" x14ac:dyDescent="0.3">
      <c r="A58" s="150" t="str">
        <f>INDEX(SharedParams[Name],ROW(B57))</f>
        <v>DPP_END_AP_kgSO₂eq</v>
      </c>
      <c r="C58" s="150" t="s">
        <v>823</v>
      </c>
      <c r="D58" s="53"/>
      <c r="E58" s="150" t="s">
        <v>813</v>
      </c>
      <c r="F58" s="150"/>
    </row>
    <row r="59" spans="1:6" x14ac:dyDescent="0.3">
      <c r="A59" s="150" t="str">
        <f>INDEX(SharedParams[Name],ROW(B58))</f>
        <v>DPP_END_EmbodiedCarbon_kgCO₂eq</v>
      </c>
      <c r="C59" s="150" t="s">
        <v>823</v>
      </c>
      <c r="D59" s="53"/>
      <c r="E59" s="150" t="s">
        <v>813</v>
      </c>
      <c r="F59" s="150" t="s">
        <v>879</v>
      </c>
    </row>
    <row r="60" spans="1:6" x14ac:dyDescent="0.3">
      <c r="A60" s="150" t="str">
        <f>INDEX(SharedParams[Name],ROW(B59))</f>
        <v>DPP_END_BiogenicCarbon_kgCO₂eq</v>
      </c>
      <c r="C60" s="150" t="s">
        <v>823</v>
      </c>
      <c r="D60" s="53"/>
      <c r="E60" s="150" t="s">
        <v>813</v>
      </c>
      <c r="F60" s="150" t="s">
        <v>880</v>
      </c>
    </row>
    <row r="61" spans="1:6" x14ac:dyDescent="0.3">
      <c r="A61" s="150" t="str">
        <f>INDEX(SharedParams[Name],ROW(B60))</f>
        <v>DPP_END_EndoflifeEmissions_kgCO₂eq</v>
      </c>
      <c r="C61" s="150" t="s">
        <v>823</v>
      </c>
      <c r="D61" s="53"/>
      <c r="E61" s="150" t="s">
        <v>813</v>
      </c>
      <c r="F61" s="150" t="s">
        <v>882</v>
      </c>
    </row>
    <row r="62" spans="1:6" x14ac:dyDescent="0.3">
      <c r="A62" s="150" t="str">
        <f>INDEX(SharedParams[Name],ROW(B61))</f>
        <v>DPP_CIR_CircularityIndex</v>
      </c>
      <c r="C62" s="150" t="s">
        <v>819</v>
      </c>
      <c r="D62" s="53" t="s">
        <v>799</v>
      </c>
      <c r="E62" s="150" t="s">
        <v>813</v>
      </c>
      <c r="F62" s="150" t="s">
        <v>883</v>
      </c>
    </row>
    <row r="63" spans="1:6" x14ac:dyDescent="0.3">
      <c r="A63" s="150" t="str">
        <f>INDEX(SharedParams[Name],ROW(B62))</f>
        <v>DPP_END_Ei</v>
      </c>
      <c r="C63" s="150" t="s">
        <v>819</v>
      </c>
      <c r="D63" s="53" t="s">
        <v>799</v>
      </c>
      <c r="E63" s="150" t="s">
        <v>813</v>
      </c>
      <c r="F63" s="150"/>
    </row>
    <row r="64" spans="1:6" x14ac:dyDescent="0.3">
      <c r="A64" s="150" t="str">
        <f>INDEX(SharedParams[Name],ROW(B63))</f>
        <v>DPP_END_w</v>
      </c>
      <c r="C64" s="150" t="s">
        <v>819</v>
      </c>
      <c r="D64" s="53" t="s">
        <v>799</v>
      </c>
      <c r="E64" s="150" t="s">
        <v>813</v>
      </c>
      <c r="F64" s="150"/>
    </row>
    <row r="65" spans="1:6" x14ac:dyDescent="0.3">
      <c r="A65" s="150" t="str">
        <f>INDEX(SharedParams[Name],ROW(B64))</f>
        <v>DPP_END_EnvironmentalScore</v>
      </c>
      <c r="C65" s="150" t="s">
        <v>819</v>
      </c>
      <c r="D65" s="53" t="s">
        <v>799</v>
      </c>
      <c r="E65" s="150" t="s">
        <v>813</v>
      </c>
      <c r="F65" s="150" t="s">
        <v>884</v>
      </c>
    </row>
    <row r="66" spans="1:6" x14ac:dyDescent="0.3">
      <c r="A66" s="150" t="str">
        <f>INDEX(SharedParams[Name],ROW(B65))</f>
        <v>DPP_TMP_ServiceLife_years</v>
      </c>
      <c r="C66" s="150" t="s">
        <v>824</v>
      </c>
      <c r="D66" s="53"/>
      <c r="E66" s="150" t="s">
        <v>813</v>
      </c>
      <c r="F66" s="150" t="s">
        <v>881</v>
      </c>
    </row>
    <row r="67" spans="1:6" x14ac:dyDescent="0.3">
      <c r="A67" s="150" t="str">
        <f>INDEX(SharedParams[Name],ROW(B66))</f>
        <v>DPP_TMP_Manteinance</v>
      </c>
      <c r="C67" s="150" t="s">
        <v>824</v>
      </c>
      <c r="D67" s="53"/>
      <c r="E67" s="150" t="s">
        <v>813</v>
      </c>
      <c r="F67" s="150" t="s">
        <v>885</v>
      </c>
    </row>
    <row r="68" spans="1:6" x14ac:dyDescent="0.3">
      <c r="A68" s="150" t="str">
        <f>INDEX(SharedParams[Name],ROW(B67))</f>
        <v>DPP_TMP_Soursing_km</v>
      </c>
      <c r="C68" s="150" t="s">
        <v>819</v>
      </c>
      <c r="D68" s="53" t="s">
        <v>799</v>
      </c>
      <c r="E68" s="150" t="s">
        <v>815</v>
      </c>
      <c r="F68" s="150" t="s">
        <v>886</v>
      </c>
    </row>
    <row r="69" spans="1:6" x14ac:dyDescent="0.3">
      <c r="A69" s="150" t="str">
        <f>INDEX(SharedParams[Name],ROW(B68))</f>
        <v>DPP_TMP_Warranty</v>
      </c>
      <c r="C69" s="150" t="s">
        <v>824</v>
      </c>
      <c r="D69" s="53"/>
      <c r="E69" s="150" t="s">
        <v>14</v>
      </c>
      <c r="F69" s="150" t="s">
        <v>842</v>
      </c>
    </row>
    <row r="70" spans="1:6" x14ac:dyDescent="0.3">
      <c r="A70" s="150" t="str">
        <f>INDEX(SharedParams[Name],ROW(B69))</f>
        <v>DPP_TMP_Warranty_months</v>
      </c>
      <c r="C70" s="150" t="s">
        <v>824</v>
      </c>
      <c r="D70" s="53"/>
      <c r="E70" s="150" t="s">
        <v>81</v>
      </c>
      <c r="F70" s="150"/>
    </row>
    <row r="71" spans="1:6" x14ac:dyDescent="0.3">
      <c r="A71" s="150" t="str">
        <f>INDEX(SharedParams[Name],ROW(B70))</f>
        <v>DPP_TMP_UpdateHistory</v>
      </c>
      <c r="C71" s="150" t="s">
        <v>822</v>
      </c>
      <c r="D71" s="53"/>
      <c r="E71" s="150" t="s">
        <v>815</v>
      </c>
      <c r="F71" s="150"/>
    </row>
    <row r="72" spans="1:6" x14ac:dyDescent="0.3">
      <c r="A72" s="150" t="str">
        <f>INDEX(SharedParams[Name],ROW(B71))</f>
        <v>DPP_SAD_HPD</v>
      </c>
      <c r="C72" s="150" t="s">
        <v>822</v>
      </c>
      <c r="D72" s="53"/>
      <c r="E72" s="150" t="s">
        <v>14</v>
      </c>
      <c r="F72" s="150" t="s">
        <v>887</v>
      </c>
    </row>
    <row r="73" spans="1:6" x14ac:dyDescent="0.3">
      <c r="A73" s="150" t="str">
        <f>INDEX(SharedParams[Name],ROW(B72))</f>
        <v>DPP_SAD_HPD_URL</v>
      </c>
      <c r="C73" s="150" t="s">
        <v>822</v>
      </c>
      <c r="D73" s="53"/>
      <c r="E73" s="150" t="s">
        <v>81</v>
      </c>
      <c r="F73" s="150" t="s">
        <v>839</v>
      </c>
    </row>
    <row r="74" spans="1:6" x14ac:dyDescent="0.3">
      <c r="A74" s="150" t="str">
        <f>INDEX(SharedParams[Name],ROW(B73))</f>
        <v>DPP_SAD_HazardClassification</v>
      </c>
      <c r="C74" s="150" t="s">
        <v>825</v>
      </c>
      <c r="D74" s="53"/>
      <c r="E74" s="150" t="s">
        <v>14</v>
      </c>
      <c r="F74" s="150" t="s">
        <v>889</v>
      </c>
    </row>
    <row r="75" spans="1:6" x14ac:dyDescent="0.3">
      <c r="A75" s="150" t="str">
        <f>INDEX(SharedParams[Name],ROW(B74))</f>
        <v>DPP_SAD_PM_CTUh</v>
      </c>
      <c r="C75" s="150" t="s">
        <v>819</v>
      </c>
      <c r="D75" s="53" t="s">
        <v>799</v>
      </c>
      <c r="E75" s="150" t="s">
        <v>14</v>
      </c>
      <c r="F75" s="150" t="s">
        <v>890</v>
      </c>
    </row>
    <row r="76" spans="1:6" x14ac:dyDescent="0.3">
      <c r="A76" s="150" t="str">
        <f>INDEX(SharedParams[Name],ROW(B75))</f>
        <v>DPP_SAD_IRP_kBqU235eq</v>
      </c>
      <c r="C76" s="150" t="s">
        <v>819</v>
      </c>
      <c r="D76" s="53" t="s">
        <v>799</v>
      </c>
      <c r="E76" s="150" t="s">
        <v>813</v>
      </c>
      <c r="F76" s="150"/>
    </row>
    <row r="77" spans="1:6" x14ac:dyDescent="0.3">
      <c r="A77" s="150" t="str">
        <f>INDEX(SharedParams[Name],ROW(B76))</f>
        <v xml:space="preserve">DPP_SAD_ETPfw_CTUe </v>
      </c>
      <c r="C77" s="150" t="s">
        <v>819</v>
      </c>
      <c r="D77" s="53" t="s">
        <v>799</v>
      </c>
      <c r="E77" s="150" t="s">
        <v>813</v>
      </c>
      <c r="F77" s="150"/>
    </row>
    <row r="78" spans="1:6" x14ac:dyDescent="0.3">
      <c r="A78" s="150" t="str">
        <f>INDEX(SharedParams[Name],ROW(B77))</f>
        <v>DPP_SAD_HRPc_CTUh</v>
      </c>
      <c r="C78" s="150" t="s">
        <v>819</v>
      </c>
      <c r="D78" s="53" t="s">
        <v>799</v>
      </c>
      <c r="E78" s="150" t="s">
        <v>813</v>
      </c>
      <c r="F78" s="150"/>
    </row>
    <row r="79" spans="1:6" x14ac:dyDescent="0.3">
      <c r="A79" s="150" t="str">
        <f>INDEX(SharedParams[Name],ROW(B78))</f>
        <v>DPP_SAD_HRPnc_CTUh</v>
      </c>
      <c r="C79" s="150" t="s">
        <v>819</v>
      </c>
      <c r="D79" s="53" t="s">
        <v>799</v>
      </c>
      <c r="E79" s="150" t="s">
        <v>813</v>
      </c>
      <c r="F79" s="150"/>
    </row>
    <row r="80" spans="1:6" x14ac:dyDescent="0.3">
      <c r="A80" s="150" t="str">
        <f>INDEX(SharedParams[Name],ROW(B79))</f>
        <v>DPP_SAD_SQP</v>
      </c>
      <c r="C80" s="150" t="s">
        <v>819</v>
      </c>
      <c r="D80" s="53" t="s">
        <v>799</v>
      </c>
      <c r="E80" s="150" t="s">
        <v>813</v>
      </c>
      <c r="F80" s="150"/>
    </row>
    <row r="81" spans="1:6" x14ac:dyDescent="0.3">
      <c r="A81" s="150" t="str">
        <f>INDEX(SharedParams[Name],ROW(B80))</f>
        <v>DPP_SAD_Toxicity</v>
      </c>
      <c r="C81" s="150" t="s">
        <v>819</v>
      </c>
      <c r="D81" s="53" t="s">
        <v>799</v>
      </c>
      <c r="E81" s="150" t="s">
        <v>81</v>
      </c>
      <c r="F81" s="150" t="s">
        <v>871</v>
      </c>
    </row>
    <row r="82" spans="1:6" x14ac:dyDescent="0.3">
      <c r="A82" s="150" t="str">
        <f>INDEX(SharedParams[Name],ROW(B81))</f>
        <v>DPP_SAD_Fire_Class</v>
      </c>
      <c r="B82" s="150" t="s">
        <v>808</v>
      </c>
      <c r="C82" s="150" t="s">
        <v>826</v>
      </c>
      <c r="D82" s="53"/>
      <c r="E82" s="150" t="s">
        <v>14</v>
      </c>
    </row>
    <row r="83" spans="1:6" x14ac:dyDescent="0.3">
      <c r="A83" s="150" t="str">
        <f>INDEX(SharedParams[Name],ROW(B82))</f>
        <v>DPP_SAD_Fire_Ssubclass</v>
      </c>
      <c r="B83" s="150" t="s">
        <v>808</v>
      </c>
      <c r="C83" s="150" t="s">
        <v>826</v>
      </c>
      <c r="D83" s="53"/>
      <c r="E83" s="150" t="s">
        <v>14</v>
      </c>
      <c r="F83" s="150" t="s">
        <v>892</v>
      </c>
    </row>
    <row r="84" spans="1:6" x14ac:dyDescent="0.3">
      <c r="A84" s="150" t="str">
        <f>INDEX(SharedParams[Name],ROW(B83))</f>
        <v>DPP_SAD_Fire_Dsubclass</v>
      </c>
      <c r="B84" s="150" t="s">
        <v>808</v>
      </c>
      <c r="C84" s="150" t="s">
        <v>826</v>
      </c>
      <c r="D84" s="53"/>
      <c r="E84" s="150" t="s">
        <v>14</v>
      </c>
      <c r="F84" s="150" t="s">
        <v>893</v>
      </c>
    </row>
    <row r="85" spans="1:6" x14ac:dyDescent="0.3">
      <c r="A85" s="150" t="str">
        <f>INDEX(SharedParams[Name],ROW(B84))</f>
        <v>DPP_SAD_FireResistance</v>
      </c>
      <c r="B85" s="150" t="s">
        <v>808</v>
      </c>
      <c r="C85" s="150" t="s">
        <v>826</v>
      </c>
      <c r="D85" s="53"/>
      <c r="E85" s="150" t="s">
        <v>14</v>
      </c>
      <c r="F85" s="150" t="s">
        <v>891</v>
      </c>
    </row>
    <row r="86" spans="1:6" x14ac:dyDescent="0.3">
      <c r="A86" s="150" t="str">
        <f>INDEX(SharedParams[Name],ROW(B85))</f>
        <v>DPP_SAD_Coatings</v>
      </c>
      <c r="C86" s="150" t="s">
        <v>827</v>
      </c>
      <c r="D86" s="53"/>
      <c r="E86" s="150" t="s">
        <v>81</v>
      </c>
      <c r="F86" s="150"/>
    </row>
    <row r="87" spans="1:6" x14ac:dyDescent="0.3">
      <c r="A87" s="150" t="str">
        <f>INDEX(SharedParams[Name],ROW(B86))</f>
        <v>DPP_SAD_CoatingType</v>
      </c>
      <c r="C87" s="150" t="s">
        <v>827</v>
      </c>
      <c r="D87" s="53"/>
      <c r="E87" s="150" t="s">
        <v>14</v>
      </c>
      <c r="F87" s="150" t="s">
        <v>894</v>
      </c>
    </row>
    <row r="88" spans="1:6" x14ac:dyDescent="0.3">
      <c r="A88" s="150" t="str">
        <f>INDEX(SharedParams[Name],ROW(B87))</f>
        <v>DPP_SAD_PPERequirements</v>
      </c>
      <c r="C88" s="150" t="s">
        <v>825</v>
      </c>
      <c r="D88" s="53"/>
      <c r="E88" s="150" t="s">
        <v>14</v>
      </c>
    </row>
    <row r="89" spans="1:6" x14ac:dyDescent="0.3">
      <c r="A89" s="150" t="str">
        <f>INDEX(SharedParams[Name],ROW(B88))</f>
        <v>DPP_SAD_Compliance</v>
      </c>
      <c r="C89" s="150" t="s">
        <v>822</v>
      </c>
      <c r="D89" s="53"/>
      <c r="E89" s="150" t="s">
        <v>81</v>
      </c>
      <c r="F89" s="150" t="s">
        <v>896</v>
      </c>
    </row>
    <row r="90" spans="1:6" x14ac:dyDescent="0.3">
      <c r="A90" s="150" t="str">
        <f>INDEX(SharedParams[Name],ROW(B89))</f>
        <v>DPP_ASD_SAC</v>
      </c>
      <c r="B90" s="150" t="s">
        <v>809</v>
      </c>
      <c r="C90" s="150" t="s">
        <v>828</v>
      </c>
      <c r="D90" s="53"/>
      <c r="E90" s="150" t="s">
        <v>813</v>
      </c>
      <c r="F90" s="150" t="s">
        <v>895</v>
      </c>
    </row>
    <row r="91" spans="1:6" x14ac:dyDescent="0.3">
      <c r="A91" s="150" t="str">
        <f>INDEX(SharedParams[Name],ROW(B90))</f>
        <v>DPP_ASD_SAI_db</v>
      </c>
      <c r="C91" s="150" t="s">
        <v>828</v>
      </c>
      <c r="D91" s="53"/>
      <c r="E91" s="150" t="s">
        <v>813</v>
      </c>
      <c r="F91" s="150" t="s">
        <v>897</v>
      </c>
    </row>
    <row r="92" spans="1:6" x14ac:dyDescent="0.3">
      <c r="A92" s="150" t="str">
        <f>INDEX(SharedParams[Name],ROW(B91))</f>
        <v>DPP_ASD_Color</v>
      </c>
      <c r="C92" s="150" t="s">
        <v>829</v>
      </c>
      <c r="D92" s="53"/>
      <c r="E92" s="150" t="s">
        <v>14</v>
      </c>
      <c r="F92" s="150" t="s">
        <v>843</v>
      </c>
    </row>
    <row r="93" spans="1:6" x14ac:dyDescent="0.3">
      <c r="A93" s="150" t="str">
        <f>INDEX(SharedParams[Name],ROW(B92))</f>
        <v>DPP_ASD_Odor</v>
      </c>
      <c r="C93" s="150" t="s">
        <v>829</v>
      </c>
      <c r="D93" s="53"/>
      <c r="E93" s="150" t="s">
        <v>14</v>
      </c>
      <c r="F93" s="150" t="s">
        <v>844</v>
      </c>
    </row>
    <row r="94" spans="1:6" x14ac:dyDescent="0.3">
      <c r="A94" s="150" t="str">
        <f>INDEX(SharedParams[Name],ROW(B93))</f>
        <v>DPP_ASD_Texture</v>
      </c>
      <c r="C94" s="150" t="s">
        <v>829</v>
      </c>
      <c r="D94" s="53"/>
      <c r="E94" s="150" t="s">
        <v>14</v>
      </c>
      <c r="F94" s="150" t="s">
        <v>845</v>
      </c>
    </row>
    <row r="95" spans="1:6" x14ac:dyDescent="0.3">
      <c r="A95" s="150" t="str">
        <f>INDEX(SharedParams[Name],ROW(B94))</f>
        <v>DPP_ASD_Temp</v>
      </c>
      <c r="C95" s="150" t="s">
        <v>829</v>
      </c>
      <c r="D95" s="53"/>
      <c r="E95" s="150" t="s">
        <v>14</v>
      </c>
      <c r="F95" s="150" t="s">
        <v>898</v>
      </c>
    </row>
    <row r="96" spans="1:6" x14ac:dyDescent="0.3">
      <c r="A96" s="150" t="str">
        <f>INDEX(SharedParams[Name],ROW(B95))</f>
        <v>DPP_ASD_ClimateSuitability</v>
      </c>
      <c r="C96" s="150" t="s">
        <v>819</v>
      </c>
      <c r="D96" s="53" t="s">
        <v>799</v>
      </c>
      <c r="E96" s="150" t="s">
        <v>14</v>
      </c>
      <c r="F96" s="150"/>
    </row>
    <row r="97" spans="1:6" x14ac:dyDescent="0.3">
      <c r="A97" s="150" t="str">
        <f>INDEX(SharedParams[Name],ROW(B96))</f>
        <v>DPP_ASD_AgriculturalValue</v>
      </c>
      <c r="C97" s="150" t="s">
        <v>819</v>
      </c>
      <c r="D97" s="53" t="s">
        <v>799</v>
      </c>
      <c r="E97" s="150" t="s">
        <v>14</v>
      </c>
      <c r="F97" s="150"/>
    </row>
    <row r="98" spans="1:6" x14ac:dyDescent="0.3">
      <c r="A98" s="150" t="str">
        <f>INDEX(SharedParams[Name],ROW(B97))</f>
        <v>DPP_ASD_ResourseAvailability</v>
      </c>
      <c r="C98" s="150" t="s">
        <v>819</v>
      </c>
      <c r="D98" s="53" t="s">
        <v>799</v>
      </c>
      <c r="E98" s="150" t="s">
        <v>14</v>
      </c>
      <c r="F98" s="150"/>
    </row>
    <row r="99" spans="1:6" x14ac:dyDescent="0.3">
      <c r="A99" s="150" t="str">
        <f>INDEX(SharedParams[Name],ROW(B98))</f>
        <v>DPP_ASD_Aging</v>
      </c>
      <c r="C99" s="150" t="s">
        <v>819</v>
      </c>
      <c r="D99" s="53" t="s">
        <v>799</v>
      </c>
      <c r="E99" s="150" t="s">
        <v>311</v>
      </c>
      <c r="F99" s="150"/>
    </row>
    <row r="100" spans="1:6" x14ac:dyDescent="0.3">
      <c r="A100" s="150" t="str">
        <f>INDEX(SharedParams[Name],ROW(B99))</f>
        <v>DPP_ASD_Architectural</v>
      </c>
      <c r="C100" s="150" t="s">
        <v>819</v>
      </c>
      <c r="D100" s="53" t="s">
        <v>799</v>
      </c>
      <c r="E100" s="150" t="s">
        <v>311</v>
      </c>
      <c r="F100" s="150"/>
    </row>
    <row r="101" spans="1:6" x14ac:dyDescent="0.3">
      <c r="A101" s="150" t="str">
        <f>INDEX(SharedParams[Name],ROW(B100))</f>
        <v>DPP_ASD_Aesthetic</v>
      </c>
      <c r="C101" s="150" t="s">
        <v>819</v>
      </c>
      <c r="D101" s="53" t="s">
        <v>799</v>
      </c>
      <c r="E101" s="150" t="s">
        <v>311</v>
      </c>
      <c r="F101" s="150"/>
    </row>
    <row r="102" spans="1:6" x14ac:dyDescent="0.3">
      <c r="A102" s="150" t="str">
        <f>INDEX(SharedParams[Name],ROW(B101))</f>
        <v>DPP_ASD_ComfortThermal</v>
      </c>
      <c r="C102" s="150" t="s">
        <v>819</v>
      </c>
      <c r="D102" s="53" t="s">
        <v>799</v>
      </c>
      <c r="E102" s="150" t="s">
        <v>14</v>
      </c>
      <c r="F102" s="150"/>
    </row>
    <row r="103" spans="1:6" x14ac:dyDescent="0.3">
      <c r="A103" s="150" t="str">
        <f>INDEX(SharedParams[Name],ROW(B102))</f>
        <v>DPP_ASD_ComfortHygrothermal</v>
      </c>
      <c r="C103" s="150" t="s">
        <v>819</v>
      </c>
      <c r="D103" s="53" t="s">
        <v>799</v>
      </c>
      <c r="E103" s="150" t="s">
        <v>14</v>
      </c>
      <c r="F103" s="150"/>
    </row>
    <row r="104" spans="1:6" x14ac:dyDescent="0.3">
      <c r="A104" s="150" t="str">
        <f>INDEX(SharedParams[Name],ROW(B103))</f>
        <v>DPP_ASD_ComfortAcoustic</v>
      </c>
      <c r="C104" s="150" t="s">
        <v>819</v>
      </c>
      <c r="D104" s="53" t="s">
        <v>799</v>
      </c>
      <c r="E104" s="150" t="s">
        <v>14</v>
      </c>
      <c r="F104" s="150"/>
    </row>
    <row r="105" spans="1:6" x14ac:dyDescent="0.3">
      <c r="A105" s="150" t="str">
        <f>INDEX(SharedParams[Name],ROW(B104))</f>
        <v>DPP_ASD_ComfortMaterial</v>
      </c>
      <c r="C105" s="150" t="s">
        <v>819</v>
      </c>
      <c r="D105" s="53" t="s">
        <v>799</v>
      </c>
      <c r="E105" s="150" t="s">
        <v>14</v>
      </c>
      <c r="F105" s="150"/>
    </row>
    <row r="106" spans="1:6" x14ac:dyDescent="0.3">
      <c r="A106" s="150" t="str">
        <f>INDEX(SharedParams[Name],ROW(B105))</f>
        <v>DPP_ASD_Craft</v>
      </c>
      <c r="C106" s="150" t="s">
        <v>819</v>
      </c>
      <c r="D106" s="53" t="s">
        <v>799</v>
      </c>
      <c r="E106" s="150" t="s">
        <v>311</v>
      </c>
      <c r="F106" s="150"/>
    </row>
    <row r="107" spans="1:6" x14ac:dyDescent="0.3">
      <c r="A107" s="150" t="str">
        <f>INDEX(SharedParams[Name],ROW(B106))</f>
        <v>DPP_ASD_Symbolism</v>
      </c>
      <c r="C107" s="150" t="s">
        <v>819</v>
      </c>
      <c r="D107" s="53" t="s">
        <v>799</v>
      </c>
      <c r="E107" s="150" t="s">
        <v>311</v>
      </c>
      <c r="F107" s="150"/>
    </row>
    <row r="108" spans="1:6" x14ac:dyDescent="0.3">
      <c r="A108" s="150" t="str">
        <f>INDEX(SharedParams[Name],ROW(B107))</f>
        <v>DPP_COD_UnitCost_EUR</v>
      </c>
      <c r="B108" s="150" t="s">
        <v>810</v>
      </c>
      <c r="C108" s="150" t="s">
        <v>830</v>
      </c>
      <c r="D108" s="53"/>
      <c r="E108" s="150" t="s">
        <v>813</v>
      </c>
      <c r="F108" s="157"/>
    </row>
    <row r="109" spans="1:6" x14ac:dyDescent="0.3">
      <c r="A109" s="150" t="str">
        <f>INDEX(SharedParams[Name],ROW(B108))</f>
        <v>DPP_COD_Assembly_EUR</v>
      </c>
      <c r="C109" s="150" t="s">
        <v>830</v>
      </c>
      <c r="D109" s="53"/>
      <c r="E109" s="150" t="s">
        <v>813</v>
      </c>
      <c r="F109" s="150"/>
    </row>
    <row r="110" spans="1:6" x14ac:dyDescent="0.3">
      <c r="A110" s="150" t="str">
        <f>INDEX(SharedParams[Name],ROW(B109))</f>
        <v>DPP_COD_Maintenance_EUR</v>
      </c>
      <c r="C110" s="150" t="s">
        <v>830</v>
      </c>
      <c r="D110" s="53"/>
      <c r="E110" s="150" t="s">
        <v>813</v>
      </c>
      <c r="F110" s="150"/>
    </row>
    <row r="111" spans="1:6" x14ac:dyDescent="0.3">
      <c r="A111" s="150" t="str">
        <f>INDEX(SharedParams[Name],ROW(B110))</f>
        <v>DPP_COD_CircularBenefit_EUR</v>
      </c>
      <c r="C111" s="150" t="s">
        <v>830</v>
      </c>
      <c r="D111" s="53"/>
      <c r="E111" s="150" t="s">
        <v>813</v>
      </c>
      <c r="F111" s="150"/>
    </row>
    <row r="112" spans="1:6" x14ac:dyDescent="0.3">
      <c r="A112" s="150" t="str">
        <f>INDEX(SharedParams[Name],ROW(B111))</f>
        <v>DPP_COD_Replacement_EUR</v>
      </c>
      <c r="C112" s="150" t="s">
        <v>830</v>
      </c>
      <c r="D112" s="53"/>
      <c r="E112" s="150" t="s">
        <v>813</v>
      </c>
      <c r="F112" s="150"/>
    </row>
    <row r="113" spans="1:6" x14ac:dyDescent="0.3">
      <c r="A113" s="150" t="str">
        <f>INDEX(SharedParams[Name],ROW(B112))</f>
        <v>DPP_COD_NPV_EUR</v>
      </c>
      <c r="C113" s="150" t="s">
        <v>819</v>
      </c>
      <c r="D113" s="53" t="s">
        <v>799</v>
      </c>
      <c r="E113" s="150" t="s">
        <v>813</v>
      </c>
      <c r="F113" s="150"/>
    </row>
    <row r="114" spans="1:6" x14ac:dyDescent="0.3">
      <c r="A114" s="150" t="str">
        <f>INDEX(SharedParams[Name],ROW(B113))</f>
        <v>DPP_COD_NS_EUR</v>
      </c>
      <c r="C114" s="150" t="s">
        <v>819</v>
      </c>
      <c r="D114" s="53" t="s">
        <v>799</v>
      </c>
      <c r="E114" s="150" t="s">
        <v>813</v>
      </c>
      <c r="F114" s="150"/>
    </row>
    <row r="115" spans="1:6" x14ac:dyDescent="0.3">
      <c r="A115" s="150" t="str">
        <f>INDEX(SharedParams[Name],ROW(B114))</f>
        <v>DPP_COD_PBP</v>
      </c>
      <c r="C115" s="150" t="s">
        <v>819</v>
      </c>
      <c r="D115" s="53" t="s">
        <v>799</v>
      </c>
      <c r="E115" s="150" t="s">
        <v>813</v>
      </c>
      <c r="F115" s="150"/>
    </row>
    <row r="116" spans="1:6" x14ac:dyDescent="0.3">
      <c r="A116" s="150" t="str">
        <f>INDEX(SharedParams[Name],ROW(B115))</f>
        <v>DPP_COD_BenefitCost</v>
      </c>
      <c r="C116" s="150" t="s">
        <v>819</v>
      </c>
      <c r="D116" s="53" t="s">
        <v>799</v>
      </c>
      <c r="E116" s="150" t="s">
        <v>813</v>
      </c>
      <c r="F116" s="150"/>
    </row>
    <row r="117" spans="1:6" x14ac:dyDescent="0.3">
      <c r="A117" s="150" t="str">
        <f>INDEX(SharedParams[Name],ROW(B116))</f>
        <v>DPP_COD_LCC_EUR</v>
      </c>
      <c r="C117" s="150" t="s">
        <v>819</v>
      </c>
      <c r="D117" s="53" t="s">
        <v>799</v>
      </c>
      <c r="E117" s="150" t="s">
        <v>813</v>
      </c>
      <c r="F117" s="150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8"/>
  <sheetViews>
    <sheetView workbookViewId="0">
      <selection activeCell="F12" sqref="F12"/>
    </sheetView>
  </sheetViews>
  <sheetFormatPr baseColWidth="10" defaultRowHeight="14.4" x14ac:dyDescent="0.3"/>
  <cols>
    <col min="1" max="1" width="34.6640625" customWidth="1"/>
    <col min="2" max="2" width="30.77734375" style="55" customWidth="1"/>
    <col min="4" max="4" width="23.109375" style="55" customWidth="1"/>
  </cols>
  <sheetData>
    <row r="1" spans="1:4" ht="15" thickBot="1" x14ac:dyDescent="0.35">
      <c r="A1" s="17" t="s">
        <v>1</v>
      </c>
      <c r="B1" s="17" t="s">
        <v>430</v>
      </c>
      <c r="C1" s="17" t="s">
        <v>630</v>
      </c>
      <c r="D1" s="17" t="s">
        <v>631</v>
      </c>
    </row>
    <row r="2" spans="1:4" ht="15" thickBot="1" x14ac:dyDescent="0.35">
      <c r="A2" s="21" t="str">
        <f>INDEX(SharedParams[Name],ROW(B1))</f>
        <v>DPP_AUT_Name</v>
      </c>
      <c r="B2" s="21" t="str">
        <f>IFERROR(
   VLOOKUP(
      INDEX('Shared parameters'!$A$2:$A$200,
             MATCH($A2,'Shared parameters'!$B$2:$B$200,0)
      ),
      'Data Entry'!$A$2:$B$200,
      2,
      FALSE
   ),
"")</f>
        <v>Hempstone</v>
      </c>
      <c r="C2" s="21" t="str">
        <f>IFERROR(
   VLOOKUP(
      INDEX('Shared parameters'!$A$2:$A$200,
             MATCH($A2,'Shared parameters'!$B$2:$B$200,0)
      ),
      'Data Entry'!$A$2:$C$200,
      3,
      FALSE
   ),
"")</f>
        <v>—</v>
      </c>
      <c r="D2" s="21" t="str">
        <f>IFERROR(
   VLOOKUP(
      INDEX('Shared parameters'!$A$2:$A$200,
             MATCH($A2,'Shared parameters'!$B$2:$B$200,0)
      ),
      'Data Entry'!$A$2:$D$200,
      4,
      FALSE
   ),
"")</f>
        <v>—</v>
      </c>
    </row>
    <row r="3" spans="1:4" ht="15" thickBot="1" x14ac:dyDescent="0.35">
      <c r="A3" s="21" t="str">
        <f>INDEX(SharedParams[Name],ROW(B2))</f>
        <v>DPP_AUT_ID</v>
      </c>
      <c r="B3" s="21" t="str">
        <f>IFERROR(
   VLOOKUP(
      INDEX('Shared parameters'!$A$2:$A$200,
             MATCH($A3,'Shared parameters'!$B$2:$B$200,0)
      ),
      'Data Entry'!$A$2:$B$200,
      2,
      FALSE
   ),
"")</f>
        <v>Z-17.25-1299</v>
      </c>
      <c r="C3" s="21" t="str">
        <f>IFERROR(
   VLOOKUP(
      INDEX('Shared parameters'!$A$2:$A$200,
             MATCH($A3,'Shared parameters'!$B$2:$B$200,0)
      ),
      'Data Entry'!$A$2:$C$200,
      3,
      FALSE
   ),
"")</f>
        <v>ID</v>
      </c>
      <c r="D3" s="21" t="str">
        <f>IFERROR(
   VLOOKUP(
      INDEX('Shared parameters'!$A$2:$A$200,
             MATCH($A3,'Shared parameters'!$B$2:$B$200,0)
      ),
      'Data Entry'!$A$2:$D$200,
      4,
      FALSE
   ),
"")</f>
        <v>—</v>
      </c>
    </row>
    <row r="4" spans="1:4" ht="28.2" thickBot="1" x14ac:dyDescent="0.35">
      <c r="A4" s="21" t="str">
        <f>INDEX(SharedParams[Name],ROW(B3))</f>
        <v>DPP_AUT_Image</v>
      </c>
      <c r="B4" s="21" t="str">
        <f>IFERROR(
   VLOOKUP(
      INDEX('Shared parameters'!$A$2:$A$200,
             MATCH($A4,'Shared parameters'!$B$2:$B$200,0)
      ),
      'Data Entry'!$A$2:$B$200,
      2,
      FALSE
   ),
"")</f>
        <v>..\..\werner schönthaler\hanfsteine Sch├Ânthaler Kopie.png</v>
      </c>
      <c r="C4" s="21" t="str">
        <f>IFERROR(
   VLOOKUP(
      INDEX('Shared parameters'!$A$2:$A$200,
             MATCH($A4,'Shared parameters'!$B$2:$B$200,0)
      ),
      'Data Entry'!$A$2:$C$200,
      3,
      FALSE
   ),
"")</f>
        <v>—</v>
      </c>
      <c r="D4" s="21" t="str">
        <f>IFERROR(
   VLOOKUP(
      INDEX('Shared parameters'!$A$2:$A$200,
             MATCH($A4,'Shared parameters'!$B$2:$B$200,0)
      ),
      'Data Entry'!$A$2:$D$200,
      4,
      FALSE
   ),
"")</f>
        <v>—</v>
      </c>
    </row>
    <row r="5" spans="1:4" ht="15" thickBot="1" x14ac:dyDescent="0.35">
      <c r="A5" s="21" t="str">
        <f>INDEX(SharedParams[Name],ROW(B4))</f>
        <v>DPP_AUT_GUID</v>
      </c>
      <c r="B5" s="21">
        <f>IFERROR(
   VLOOKUP(
      INDEX('Shared parameters'!$A$2:$A$200,
             MATCH($A5,'Shared parameters'!$B$2:$B$200,0)
      ),
      'Data Entry'!$A$2:$B$200,
      2,
      FALSE
   ),
"")</f>
        <v>0</v>
      </c>
      <c r="C5" s="21" t="str">
        <f>IFERROR(
   VLOOKUP(
      INDEX('Shared parameters'!$A$2:$A$200,
             MATCH($A5,'Shared parameters'!$B$2:$B$200,0)
      ),
      'Data Entry'!$A$2:$C$200,
      3,
      FALSE
   ),
"")</f>
        <v>GUID</v>
      </c>
      <c r="D5" s="21" t="str">
        <f>IFERROR(
   VLOOKUP(
      INDEX('Shared parameters'!$A$2:$A$200,
             MATCH($A5,'Shared parameters'!$B$2:$B$200,0)
      ),
      'Data Entry'!$A$2:$D$200,
      4,
      FALSE
   ),
"")</f>
        <v>—</v>
      </c>
    </row>
    <row r="6" spans="1:4" ht="42" thickBot="1" x14ac:dyDescent="0.35">
      <c r="A6" s="21" t="str">
        <f>INDEX(SharedParams[Name],ROW(B5))</f>
        <v>DPP_AUT_MaterialType</v>
      </c>
      <c r="B6" s="21" t="str">
        <f>IFERROR(
   VLOOKUP(
      INDEX('Shared parameters'!$A$2:$A$200,
             MATCH($A6,'Shared parameters'!$B$2:$B$200,0)
      ),
      'Data Entry'!$A$2:$B$200,
      2,
      FALSE
   ),
"")</f>
        <v>Type II</v>
      </c>
      <c r="C6" s="21" t="str">
        <f>IFERROR(
   VLOOKUP(
      INDEX('Shared parameters'!$A$2:$A$200,
             MATCH($A6,'Shared parameters'!$B$2:$B$200,0)
      ),
      'Data Entry'!$A$2:$C$200,
      3,
      FALSE
   ),
"")</f>
        <v>—</v>
      </c>
      <c r="D6" s="21" t="str">
        <f>IFERROR(
   VLOOKUP(
      INDEX('Shared parameters'!$A$2:$A$200,
             MATCH($A6,'Shared parameters'!$B$2:$B$200,0)
      ),
      'Data Entry'!$A$2:$D$200,
      4,
      FALSE
   ),
"")</f>
        <v>Type I (Ingredients); Type II (Modular); Type III (Sub-Components)</v>
      </c>
    </row>
    <row r="7" spans="1:4" ht="15" thickBot="1" x14ac:dyDescent="0.35">
      <c r="A7" s="21" t="str">
        <f>INDEX(SharedParams[Name],ROW(B6))</f>
        <v>DPP_AUT_Manufacturer</v>
      </c>
      <c r="B7" s="21" t="str">
        <f>IFERROR(
   VLOOKUP(
      INDEX('Shared parameters'!$A$2:$A$200,
             MATCH($A7,'Shared parameters'!$B$2:$B$200,0)
      ),
      'Data Entry'!$A$2:$B$200,
      2,
      FALSE
   ),
"")</f>
        <v>Schönthaler Bausteinwerk GmbH</v>
      </c>
      <c r="C7" s="21" t="str">
        <f>IFERROR(
   VLOOKUP(
      INDEX('Shared parameters'!$A$2:$A$200,
             MATCH($A7,'Shared parameters'!$B$2:$B$200,0)
      ),
      'Data Entry'!$A$2:$C$200,
      3,
      FALSE
   ),
"")</f>
        <v>—</v>
      </c>
      <c r="D7" s="21" t="str">
        <f>IFERROR(
   VLOOKUP(
      INDEX('Shared parameters'!$A$2:$A$200,
             MATCH($A7,'Shared parameters'!$B$2:$B$200,0)
      ),
      'Data Entry'!$A$2:$D$200,
      4,
      FALSE
   ),
"")</f>
        <v>—</v>
      </c>
    </row>
    <row r="8" spans="1:4" ht="15" thickBot="1" x14ac:dyDescent="0.35">
      <c r="A8" s="21" t="str">
        <f>INDEX(SharedParams[Name],ROW(B7))</f>
        <v>DPP_AUT_Manufacturer_URL</v>
      </c>
      <c r="B8" s="21" t="str">
        <f>IFERROR(
   VLOOKUP(
      INDEX('Shared parameters'!$A$2:$A$200,
             MATCH($A8,'Shared parameters'!$B$2:$B$200,0)
      ),
      'Data Entry'!$A$2:$B$200,
      2,
      FALSE
   ),
"")</f>
        <v>https://www.hanfstein.eu/</v>
      </c>
      <c r="C8" s="21" t="str">
        <f>IFERROR(
   VLOOKUP(
      INDEX('Shared parameters'!$A$2:$A$200,
             MATCH($A8,'Shared parameters'!$B$2:$B$200,0)
      ),
      'Data Entry'!$A$2:$C$200,
      3,
      FALSE
   ),
"")</f>
        <v>—</v>
      </c>
      <c r="D8" s="21" t="str">
        <f>IFERROR(
   VLOOKUP(
      INDEX('Shared parameters'!$A$2:$A$200,
             MATCH($A8,'Shared parameters'!$B$2:$B$200,0)
      ),
      'Data Entry'!$A$2:$D$200,
      4,
      FALSE
   ),
"")</f>
        <v>—</v>
      </c>
    </row>
    <row r="9" spans="1:4" ht="15" thickBot="1" x14ac:dyDescent="0.35">
      <c r="A9" s="21" t="str">
        <f>INDEX(SharedParams[Name],ROW(B8))</f>
        <v>DPP_AUT_Distribuitor</v>
      </c>
      <c r="B9" s="21" t="str">
        <f>IFERROR(
   VLOOKUP(
      INDEX('Shared parameters'!$A$2:$A$200,
             MATCH($A9,'Shared parameters'!$B$2:$B$200,0)
      ),
      'Data Entry'!$A$2:$B$200,
      2,
      FALSE
   ),
"")</f>
        <v>NA</v>
      </c>
      <c r="C9" s="21" t="str">
        <f>IFERROR(
   VLOOKUP(
      INDEX('Shared parameters'!$A$2:$A$200,
             MATCH($A9,'Shared parameters'!$B$2:$B$200,0)
      ),
      'Data Entry'!$A$2:$C$200,
      3,
      FALSE
   ),
"")</f>
        <v>—</v>
      </c>
      <c r="D9" s="21" t="str">
        <f>IFERROR(
   VLOOKUP(
      INDEX('Shared parameters'!$A$2:$A$200,
             MATCH($A9,'Shared parameters'!$B$2:$B$200,0)
      ),
      'Data Entry'!$A$2:$D$200,
      4,
      FALSE
   ),
"")</f>
        <v>NA</v>
      </c>
    </row>
    <row r="10" spans="1:4" ht="15" thickBot="1" x14ac:dyDescent="0.35">
      <c r="A10" s="21" t="str">
        <f>INDEX(SharedParams[Name],ROW(B9))</f>
        <v>DPP_AUT_Distribuitor_URL</v>
      </c>
      <c r="B10" s="21" t="str">
        <f>IFERROR(
   VLOOKUP(
      INDEX('Shared parameters'!$A$2:$A$200,
             MATCH($A10,'Shared parameters'!$B$2:$B$200,0)
      ),
      'Data Entry'!$A$2:$B$200,
      2,
      FALSE
   ),
"")</f>
        <v>NA</v>
      </c>
      <c r="C10" s="21" t="str">
        <f>IFERROR(
   VLOOKUP(
      INDEX('Shared parameters'!$A$2:$A$200,
             MATCH($A10,'Shared parameters'!$B$2:$B$200,0)
      ),
      'Data Entry'!$A$2:$C$200,
      3,
      FALSE
   ),
"")</f>
        <v>—</v>
      </c>
      <c r="D10" s="21" t="str">
        <f>IFERROR(
   VLOOKUP(
      INDEX('Shared parameters'!$A$2:$A$200,
             MATCH($A10,'Shared parameters'!$B$2:$B$200,0)
      ),
      'Data Entry'!$A$2:$D$200,
      4,
      FALSE
   ),
"")</f>
        <v>NA</v>
      </c>
    </row>
    <row r="11" spans="1:4" ht="15" thickBot="1" x14ac:dyDescent="0.35">
      <c r="A11" s="21" t="str">
        <f>INDEX(SharedParams[Name],ROW(B10))</f>
        <v>DPP_AUR_Supplier</v>
      </c>
      <c r="B11" s="21" t="str">
        <f>IFERROR(
   VLOOKUP(
      INDEX('Shared parameters'!$A$2:$A$200,
             MATCH($A11,'Shared parameters'!$B$2:$B$200,0)
      ),
      'Data Entry'!$A$2:$B$200,
      2,
      FALSE
   ),
"")</f>
        <v>NA</v>
      </c>
      <c r="C11" s="21" t="str">
        <f>IFERROR(
   VLOOKUP(
      INDEX('Shared parameters'!$A$2:$A$200,
             MATCH($A11,'Shared parameters'!$B$2:$B$200,0)
      ),
      'Data Entry'!$A$2:$C$200,
      3,
      FALSE
   ),
"")</f>
        <v>—</v>
      </c>
      <c r="D11" s="21" t="str">
        <f>IFERROR(
   VLOOKUP(
      INDEX('Shared parameters'!$A$2:$A$200,
             MATCH($A11,'Shared parameters'!$B$2:$B$200,0)
      ),
      'Data Entry'!$A$2:$D$200,
      4,
      FALSE
   ),
"")</f>
        <v>NA</v>
      </c>
    </row>
    <row r="12" spans="1:4" ht="15" thickBot="1" x14ac:dyDescent="0.35">
      <c r="A12" s="21" t="str">
        <f>INDEX(SharedParams[Name],ROW(B11))</f>
        <v>DPP_AUR_Supplier_URL</v>
      </c>
      <c r="B12" s="21" t="str">
        <f>IFERROR(
   VLOOKUP(
      INDEX('Shared parameters'!$A$2:$A$200,
             MATCH($A12,'Shared parameters'!$B$2:$B$200,0)
      ),
      'Data Entry'!$A$2:$B$200,
      2,
      FALSE
   ),
"")</f>
        <v>NA</v>
      </c>
      <c r="C12" s="21" t="str">
        <f>IFERROR(
   VLOOKUP(
      INDEX('Shared parameters'!$A$2:$A$200,
             MATCH($A12,'Shared parameters'!$B$2:$B$200,0)
      ),
      'Data Entry'!$A$2:$C$200,
      3,
      FALSE
   ),
"")</f>
        <v>—</v>
      </c>
      <c r="D12" s="21" t="str">
        <f>IFERROR(
   VLOOKUP(
      INDEX('Shared parameters'!$A$2:$A$200,
             MATCH($A12,'Shared parameters'!$B$2:$B$200,0)
      ),
      'Data Entry'!$A$2:$D$200,
      4,
      FALSE
   ),
"")</f>
        <v>NA</v>
      </c>
    </row>
    <row r="13" spans="1:4" ht="15" thickBot="1" x14ac:dyDescent="0.35">
      <c r="A13" s="21" t="str">
        <f>INDEX(SharedParams[Name],ROW(B12))</f>
        <v>DPP_AUT_TransRoute</v>
      </c>
      <c r="B13" s="21">
        <f>IFERROR(
   VLOOKUP(
      INDEX('Shared parameters'!$A$2:$A$200,
             MATCH($A13,'Shared parameters'!$B$2:$B$200,0)
      ),
      'Data Entry'!$A$2:$B$200,
      2,
      FALSE
   ),
"")</f>
        <v>0</v>
      </c>
      <c r="C13" s="21">
        <f>IFERROR(
   VLOOKUP(
      INDEX('Shared parameters'!$A$2:$A$200,
             MATCH($A13,'Shared parameters'!$B$2:$B$200,0)
      ),
      'Data Entry'!$A$2:$C$200,
      3,
      FALSE
   ),
"")</f>
        <v>0</v>
      </c>
      <c r="D13" s="21">
        <f>IFERROR(
   VLOOKUP(
      INDEX('Shared parameters'!$A$2:$A$200,
             MATCH($A13,'Shared parameters'!$B$2:$B$200,0)
      ),
      'Data Entry'!$A$2:$D$200,
      4,
      FALSE
   ),
"")</f>
        <v>0</v>
      </c>
    </row>
    <row r="14" spans="1:4" ht="28.2" thickBot="1" x14ac:dyDescent="0.35">
      <c r="A14" s="21" t="str">
        <f>INDEX(SharedParams[Name],ROW(B13))</f>
        <v>DPP_AUT_Traceability</v>
      </c>
      <c r="B14" s="21" t="str">
        <f>IFERROR(
   VLOOKUP(
      INDEX('Shared parameters'!$A$2:$A$200,
             MATCH($A14,'Shared parameters'!$B$2:$B$200,0)
      ),
      'Data Entry'!$A$2:$B$200,
      2,
      FALSE
   ),
"")</f>
        <v>a1b2c3d4-e5f6-7890-1234-567890abcdef</v>
      </c>
      <c r="C14" s="21" t="str">
        <f>IFERROR(
   VLOOKUP(
      INDEX('Shared parameters'!$A$2:$A$200,
             MATCH($A14,'Shared parameters'!$B$2:$B$200,0)
      ),
      'Data Entry'!$A$2:$C$200,
      3,
      FALSE
   ),
"")</f>
        <v>QR</v>
      </c>
      <c r="D14" s="21" t="str">
        <f>IFERROR(
   VLOOKUP(
      INDEX('Shared parameters'!$A$2:$A$200,
             MATCH($A14,'Shared parameters'!$B$2:$B$200,0)
      ),
      'Data Entry'!$A$2:$D$200,
      4,
      FALSE
   ),
"")</f>
        <v>QR-RFID-NFC-Serial number</v>
      </c>
    </row>
    <row r="15" spans="1:4" ht="15" thickBot="1" x14ac:dyDescent="0.35">
      <c r="A15" s="21" t="str">
        <f>INDEX(SharedParams[Name],ROW(B14))</f>
        <v>DPP_AUT_Origin</v>
      </c>
      <c r="B15" s="21" t="str">
        <f>IFERROR(
   VLOOKUP(
      INDEX('Shared parameters'!$A$2:$A$200,
             MATCH($A15,'Shared parameters'!$B$2:$B$200,0)
      ),
      'Data Entry'!$A$2:$B$200,
      2,
      FALSE
   ),
"")</f>
        <v>39020 Oris (BZ)</v>
      </c>
      <c r="C15" s="21" t="str">
        <f>IFERROR(
   VLOOKUP(
      INDEX('Shared parameters'!$A$2:$A$200,
             MATCH($A15,'Shared parameters'!$B$2:$B$200,0)
      ),
      'Data Entry'!$A$2:$C$200,
      3,
      FALSE
   ),
"")</f>
        <v>—</v>
      </c>
      <c r="D15" s="21" t="str">
        <f>IFERROR(
   VLOOKUP(
      INDEX('Shared parameters'!$A$2:$A$200,
             MATCH($A15,'Shared parameters'!$B$2:$B$200,0)
      ),
      'Data Entry'!$A$2:$D$200,
      4,
      FALSE
   ),
"")</f>
        <v>—</v>
      </c>
    </row>
    <row r="16" spans="1:4" ht="15" thickBot="1" x14ac:dyDescent="0.35">
      <c r="A16" s="21" t="str">
        <f>INDEX(SharedParams[Name],ROW(B15))</f>
        <v>DPP_AUT_Version</v>
      </c>
      <c r="B16" s="21" t="str">
        <f>IFERROR(
   VLOOKUP(
      INDEX('Shared parameters'!$A$2:$A$200,
             MATCH($A16,'Shared parameters'!$B$2:$B$200,0)
      ),
      'Data Entry'!$A$2:$B$200,
      2,
      FALSE
   ),
"")</f>
        <v>HKZ 335</v>
      </c>
      <c r="C16" s="21" t="str">
        <f>IFERROR(
   VLOOKUP(
      INDEX('Shared parameters'!$A$2:$A$200,
             MATCH($A16,'Shared parameters'!$B$2:$B$200,0)
      ),
      'Data Entry'!$A$2:$C$200,
      3,
      FALSE
   ),
"")</f>
        <v>No.</v>
      </c>
      <c r="D16" s="21" t="str">
        <f>IFERROR(
   VLOOKUP(
      INDEX('Shared parameters'!$A$2:$A$200,
             MATCH($A16,'Shared parameters'!$B$2:$B$200,0)
      ),
      'Data Entry'!$A$2:$D$200,
      4,
      FALSE
   ),
"")</f>
        <v xml:space="preserve"> HKZ 335 - HKZ 360</v>
      </c>
    </row>
    <row r="17" spans="1:6" ht="15" thickBot="1" x14ac:dyDescent="0.35">
      <c r="A17" s="21" t="str">
        <f>INDEX(SharedParams[Name],ROW(B16))</f>
        <v>DPP_MAT_Material</v>
      </c>
      <c r="B17" s="21" t="str">
        <f>IFERROR(
   VLOOKUP(
      INDEX('Shared parameters'!$A$2:$A$200,
             MATCH($A17,'Shared parameters'!$B$2:$B$200,0)
      ),
      'Data Entry'!$A$2:$B$200,
      2,
      FALSE
   ),
"")</f>
        <v xml:space="preserve">Infill masonry made of hemp stones </v>
      </c>
      <c r="C17" s="21" t="str">
        <f>IFERROR(
   VLOOKUP(
      INDEX('Shared parameters'!$A$2:$A$200,
             MATCH($A17,'Shared parameters'!$B$2:$B$200,0)
      ),
      'Data Entry'!$A$2:$C$200,
      3,
      FALSE
   ),
"")</f>
        <v>—</v>
      </c>
      <c r="D17" s="21" t="str">
        <f>IFERROR(
   VLOOKUP(
      INDEX('Shared parameters'!$A$2:$A$200,
             MATCH($A17,'Shared parameters'!$B$2:$B$200,0)
      ),
      'Data Entry'!$A$2:$D$200,
      4,
      FALSE
   ),
"")</f>
        <v>—</v>
      </c>
      <c r="F17" s="35"/>
    </row>
    <row r="18" spans="1:6" ht="42" thickBot="1" x14ac:dyDescent="0.35">
      <c r="A18" s="21" t="str">
        <f>INDEX(SharedParams[Name],ROW(B17))</f>
        <v>DPP_MAT_Components</v>
      </c>
      <c r="B18" s="21" t="str">
        <f>IFERROR(
   VLOOKUP(
      INDEX('Shared parameters'!$A$2:$A$200,
             MATCH($A18,'Shared parameters'!$B$2:$B$200,0)
      ),
      'Data Entry'!$A$2:$B$200,
      2,
      FALSE
   ),
"")</f>
        <v xml:space="preserve">8 hempstone bricks of 8x50x20 with a 1/3 displacement with hemp-lime mortar </v>
      </c>
      <c r="C18" s="21" t="str">
        <f>IFERROR(
   VLOOKUP(
      INDEX('Shared parameters'!$A$2:$A$200,
             MATCH($A18,'Shared parameters'!$B$2:$B$200,0)
      ),
      'Data Entry'!$A$2:$C$200,
      3,
      FALSE
   ),
"")</f>
        <v>—</v>
      </c>
      <c r="D18" s="21" t="str">
        <f>IFERROR(
   VLOOKUP(
      INDEX('Shared parameters'!$A$2:$A$200,
             MATCH($A18,'Shared parameters'!$B$2:$B$200,0)
      ),
      'Data Entry'!$A$2:$D$200,
      4,
      FALSE
   ),
"")</f>
        <v>—</v>
      </c>
    </row>
    <row r="19" spans="1:6" ht="42" thickBot="1" x14ac:dyDescent="0.35">
      <c r="A19" s="21" t="str">
        <f>INDEX(SharedParams[Name],ROW(B18))</f>
        <v>DPP_MAT_Composition</v>
      </c>
      <c r="B19" s="21" t="str">
        <f>IFERROR(
   VLOOKUP(
      INDEX('Shared parameters'!$A$2:$A$200,
             MATCH($A19,'Shared parameters'!$B$2:$B$200,0)
      ),
      'Data Entry'!$A$2:$B$200,
      2,
      FALSE
   ),
"")</f>
        <v xml:space="preserve">Hemp-lime composite </v>
      </c>
      <c r="C19" s="21" t="str">
        <f>IFERROR(
   VLOOKUP(
      INDEX('Shared parameters'!$A$2:$A$200,
             MATCH($A19,'Shared parameters'!$B$2:$B$200,0)
      ),
      'Data Entry'!$A$2:$C$200,
      3,
      FALSE
   ),
"")</f>
        <v>—</v>
      </c>
      <c r="D19" s="21" t="str">
        <f>IFERROR(
   VLOOKUP(
      INDEX('Shared parameters'!$A$2:$A$200,
             MATCH($A19,'Shared parameters'!$B$2:$B$200,0)
      ),
      'Data Entry'!$A$2:$D$200,
      4,
      FALSE
   ),
"")</f>
        <v>Hemp-clay; Hemp-cement; Hemp-biopolymer; Hemp-MgO</v>
      </c>
    </row>
    <row r="20" spans="1:6" ht="55.8" thickBot="1" x14ac:dyDescent="0.35">
      <c r="A20" s="21" t="str">
        <f>INDEX(SharedParams[Name],ROW(B19))</f>
        <v>DPP_AUT_TypeDimension</v>
      </c>
      <c r="B20" s="21" t="str">
        <f>IFERROR(
   VLOOKUP(
      INDEX('Shared parameters'!$A$2:$A$200,
             MATCH($A20,'Shared parameters'!$B$2:$B$200,0)
      ),
      'Data Entry'!$A$2:$B$200,
      2,
      FALSE
   ),
"")</f>
        <v>8x50x20</v>
      </c>
      <c r="C20" s="21" t="str">
        <f>IFERROR(
   VLOOKUP(
      INDEX('Shared parameters'!$A$2:$A$200,
             MATCH($A20,'Shared parameters'!$B$2:$B$200,0)
      ),
      'Data Entry'!$A$2:$C$200,
      3,
      FALSE
   ),
"")</f>
        <v>cm</v>
      </c>
      <c r="D20" s="21" t="str">
        <f>IFERROR(
   VLOOKUP(
      INDEX('Shared parameters'!$A$2:$A$200,
             MATCH($A20,'Shared parameters'!$B$2:$B$200,0)
      ),
      'Data Entry'!$A$2:$D$200,
      4,
      FALSE
   ),
"")</f>
        <v>6x22x11; 8x50x20; 12x55x20; 15x50x20; 20x55x20; 24x55x20; 38x55x20; 44x55x20</v>
      </c>
    </row>
    <row r="21" spans="1:6" ht="15" thickBot="1" x14ac:dyDescent="0.35">
      <c r="A21" s="21" t="str">
        <f>INDEX(SharedParams[Name],ROW(B20))</f>
        <v>DPP_DIM_Height_mm</v>
      </c>
      <c r="B21" s="21">
        <f>IFERROR(
   VLOOKUP(
      INDEX('Shared parameters'!$A$2:$A$200,
             MATCH($A21,'Shared parameters'!$B$2:$B$200,0)
      ),
      'Data Entry'!$A$2:$B$200,
      2,
      FALSE
   ),
"")</f>
        <v>200</v>
      </c>
      <c r="C21" s="21" t="str">
        <f>IFERROR(
   VLOOKUP(
      INDEX('Shared parameters'!$A$2:$A$200,
             MATCH($A21,'Shared parameters'!$B$2:$B$200,0)
      ),
      'Data Entry'!$A$2:$C$200,
      3,
      FALSE
   ),
"")</f>
        <v>mm</v>
      </c>
      <c r="D21" s="21" t="str">
        <f>IFERROR(
   VLOOKUP(
      INDEX('Shared parameters'!$A$2:$A$200,
             MATCH($A21,'Shared parameters'!$B$2:$B$200,0)
      ),
      'Data Entry'!$A$2:$D$200,
      4,
      FALSE
   ),
"")</f>
        <v>200 - 300</v>
      </c>
    </row>
    <row r="22" spans="1:6" ht="15" thickBot="1" x14ac:dyDescent="0.35">
      <c r="A22" s="21" t="str">
        <f>INDEX(SharedParams[Name],ROW(B21))</f>
        <v>DPP_DIM_Length_mm</v>
      </c>
      <c r="B22" s="21">
        <f>IFERROR(
   VLOOKUP(
      INDEX('Shared parameters'!$A$2:$A$200,
             MATCH($A22,'Shared parameters'!$B$2:$B$200,0)
      ),
      'Data Entry'!$A$2:$B$200,
      2,
      FALSE
   ),
"")</f>
        <v>80</v>
      </c>
      <c r="C22" s="21" t="str">
        <f>IFERROR(
   VLOOKUP(
      INDEX('Shared parameters'!$A$2:$A$200,
             MATCH($A22,'Shared parameters'!$B$2:$B$200,0)
      ),
      'Data Entry'!$A$2:$C$200,
      3,
      FALSE
   ),
"")</f>
        <v>mm</v>
      </c>
      <c r="D22" s="21" t="str">
        <f>IFERROR(
   VLOOKUP(
      INDEX('Shared parameters'!$A$2:$A$200,
             MATCH($A22,'Shared parameters'!$B$2:$B$200,0)
      ),
      'Data Entry'!$A$2:$D$200,
      4,
      FALSE
   ),
"")</f>
        <v>100 - 250</v>
      </c>
    </row>
    <row r="23" spans="1:6" ht="15" thickBot="1" x14ac:dyDescent="0.35">
      <c r="A23" s="21" t="str">
        <f>INDEX(SharedParams[Name],ROW(B22))</f>
        <v>DPP_DIM_Width_mm</v>
      </c>
      <c r="B23" s="21">
        <f>IFERROR(
   VLOOKUP(
      INDEX('Shared parameters'!$A$2:$A$200,
             MATCH($A23,'Shared parameters'!$B$2:$B$200,0)
      ),
      'Data Entry'!$A$2:$B$200,
      2,
      FALSE
   ),
"")</f>
        <v>500</v>
      </c>
      <c r="C23" s="21" t="str">
        <f>IFERROR(
   VLOOKUP(
      INDEX('Shared parameters'!$A$2:$A$200,
             MATCH($A23,'Shared parameters'!$B$2:$B$200,0)
      ),
      'Data Entry'!$A$2:$C$200,
      3,
      FALSE
   ),
"")</f>
        <v>mm</v>
      </c>
      <c r="D23" s="21" t="str">
        <f>IFERROR(
   VLOOKUP(
      INDEX('Shared parameters'!$A$2:$A$200,
             MATCH($A23,'Shared parameters'!$B$2:$B$200,0)
      ),
      'Data Entry'!$A$2:$D$200,
      4,
      FALSE
   ),
"")</f>
        <v>300 - 600</v>
      </c>
    </row>
    <row r="24" spans="1:6" ht="15" thickBot="1" x14ac:dyDescent="0.35">
      <c r="A24" s="21" t="str">
        <f>INDEX(SharedParams[Name],ROW(B23))</f>
        <v>DPP_DIM_Volume_m3</v>
      </c>
      <c r="B24" s="21">
        <f>IFERROR(
   VLOOKUP(
      INDEX('Shared parameters'!$A$2:$A$200,
             MATCH($A24,'Shared parameters'!$B$2:$B$200,0)
      ),
      'Data Entry'!$A$2:$B$200,
      2,
      FALSE
   ),
"")</f>
        <v>8.0000000000000002E-3</v>
      </c>
      <c r="C24" s="21" t="str">
        <f>IFERROR(
   VLOOKUP(
      INDEX('Shared parameters'!$A$2:$A$200,
             MATCH($A24,'Shared parameters'!$B$2:$B$200,0)
      ),
      'Data Entry'!$A$2:$C$200,
      3,
      FALSE
   ),
"")</f>
        <v>—</v>
      </c>
      <c r="D24" s="21" t="str">
        <f>IFERROR(
   VLOOKUP(
      INDEX('Shared parameters'!$A$2:$A$200,
             MATCH($A24,'Shared parameters'!$B$2:$B$200,0)
      ),
      'Data Entry'!$A$2:$D$200,
      4,
      FALSE
   ),
"")</f>
        <v>0.006 - 0.036</v>
      </c>
    </row>
    <row r="25" spans="1:6" ht="15" thickBot="1" x14ac:dyDescent="0.35">
      <c r="A25" s="21" t="str">
        <f>INDEX(SharedParams[Name],ROW(B24))</f>
        <v>DPP_DAT_DryDensity_kgm3</v>
      </c>
      <c r="B25" s="21">
        <f>IFERROR(
   VLOOKUP(
      INDEX('Shared parameters'!$A$2:$A$200,
             MATCH($A25,'Shared parameters'!$B$2:$B$200,0)
      ),
      'Data Entry'!$A$2:$B$200,
      2,
      FALSE
   ),
"")</f>
        <v>335</v>
      </c>
      <c r="C25" s="21" t="str">
        <f>IFERROR(
   VLOOKUP(
      INDEX('Shared parameters'!$A$2:$A$200,
             MATCH($A25,'Shared parameters'!$B$2:$B$200,0)
      ),
      'Data Entry'!$A$2:$C$200,
      3,
      FALSE
   ),
"")</f>
        <v>kg/m³</v>
      </c>
      <c r="D25" s="21" t="str">
        <f>IFERROR(
   VLOOKUP(
      INDEX('Shared parameters'!$A$2:$A$200,
             MATCH($A25,'Shared parameters'!$B$2:$B$200,0)
      ),
      'Data Entry'!$A$2:$D$200,
      4,
      FALSE
   ),
"")</f>
        <v>310-360</v>
      </c>
    </row>
    <row r="26" spans="1:6" ht="15" thickBot="1" x14ac:dyDescent="0.35">
      <c r="A26" s="21" t="str">
        <f>INDEX(SharedParams[Name],ROW(B25))</f>
        <v>DPP_DAT_EqDensity_kgm3</v>
      </c>
      <c r="B26" s="21">
        <f>IFERROR(
   VLOOKUP(
      INDEX('Shared parameters'!$A$2:$A$200,
             MATCH($A26,'Shared parameters'!$B$2:$B$200,0)
      ),
      'Data Entry'!$A$2:$B$200,
      2,
      FALSE
   ),
"")</f>
        <v>405</v>
      </c>
      <c r="C26" s="21" t="str">
        <f>IFERROR(
   VLOOKUP(
      INDEX('Shared parameters'!$A$2:$A$200,
             MATCH($A26,'Shared parameters'!$B$2:$B$200,0)
      ),
      'Data Entry'!$A$2:$C$200,
      3,
      FALSE
   ),
"")</f>
        <v>kg/m³</v>
      </c>
      <c r="D26" s="21" t="str">
        <f>IFERROR(
   VLOOKUP(
      INDEX('Shared parameters'!$A$2:$A$200,
             MATCH($A26,'Shared parameters'!$B$2:$B$200,0)
      ),
      'Data Entry'!$A$2:$D$200,
      4,
      FALSE
   ),
"")</f>
        <v>390-450</v>
      </c>
    </row>
    <row r="27" spans="1:6" ht="15" thickBot="1" x14ac:dyDescent="0.35">
      <c r="A27" s="21" t="str">
        <f>INDEX(SharedParams[Name],ROW(B26))</f>
        <v>DPP_DAT_Weight_kg</v>
      </c>
      <c r="B27" s="21">
        <f>IFERROR(
   VLOOKUP(
      INDEX('Shared parameters'!$A$2:$A$200,
             MATCH($A27,'Shared parameters'!$B$2:$B$200,0)
      ),
      'Data Entry'!$A$2:$B$200,
      2,
      FALSE
   ),
"")</f>
        <v>2.68</v>
      </c>
      <c r="C27" s="21" t="str">
        <f>IFERROR(
   VLOOKUP(
      INDEX('Shared parameters'!$A$2:$A$200,
             MATCH($A27,'Shared parameters'!$B$2:$B$200,0)
      ),
      'Data Entry'!$A$2:$C$200,
      3,
      FALSE
   ),
"")</f>
        <v>Kg</v>
      </c>
      <c r="D27" s="21" t="str">
        <f>IFERROR(
   VLOOKUP(
      INDEX('Shared parameters'!$A$2:$A$200,
             MATCH($A27,'Shared parameters'!$B$2:$B$200,0)
      ),
      'Data Entry'!$A$2:$D$200,
      4,
      FALSE
   ),
"")</f>
        <v>6.00 - 15.00</v>
      </c>
    </row>
    <row r="28" spans="1:6" ht="15" thickBot="1" x14ac:dyDescent="0.35">
      <c r="A28" s="21" t="str">
        <f>INDEX(SharedParams[Name],ROW(B27))</f>
        <v>DPP_DAT_CompressiveStrenght_Mpa</v>
      </c>
      <c r="B28" s="21">
        <f>IFERROR(
   VLOOKUP(
      INDEX('Shared parameters'!$A$2:$A$200,
             MATCH($A28,'Shared parameters'!$B$2:$B$200,0)
      ),
      'Data Entry'!$A$2:$B$200,
      2,
      FALSE
   ),
"")</f>
        <v>0.5</v>
      </c>
      <c r="C28" s="21" t="str">
        <f>IFERROR(
   VLOOKUP(
      INDEX('Shared parameters'!$A$2:$A$200,
             MATCH($A28,'Shared parameters'!$B$2:$B$200,0)
      ),
      'Data Entry'!$A$2:$C$200,
      3,
      FALSE
   ),
"")</f>
        <v>Mpa</v>
      </c>
      <c r="D28" s="21" t="str">
        <f>IFERROR(
   VLOOKUP(
      INDEX('Shared parameters'!$A$2:$A$200,
             MATCH($A28,'Shared parameters'!$B$2:$B$200,0)
      ),
      'Data Entry'!$A$2:$D$200,
      4,
      FALSE
   ),
"")</f>
        <v>0.06-0.8</v>
      </c>
    </row>
    <row r="29" spans="1:6" ht="15" thickBot="1" x14ac:dyDescent="0.35">
      <c r="A29" s="21" t="str">
        <f>INDEX(SharedParams[Name],ROW(B28))</f>
        <v>DPP_DAT_ShearStrenght_Mpa</v>
      </c>
      <c r="B29" s="21">
        <f>IFERROR(
   VLOOKUP(
      INDEX('Shared parameters'!$A$2:$A$200,
             MATCH($A29,'Shared parameters'!$B$2:$B$200,0)
      ),
      'Data Entry'!$A$2:$B$200,
      2,
      FALSE
   ),
"")</f>
        <v>0.12</v>
      </c>
      <c r="C29" s="21" t="str">
        <f>IFERROR(
   VLOOKUP(
      INDEX('Shared parameters'!$A$2:$A$200,
             MATCH($A29,'Shared parameters'!$B$2:$B$200,0)
      ),
      'Data Entry'!$A$2:$C$200,
      3,
      FALSE
   ),
"")</f>
        <v>Mpa</v>
      </c>
      <c r="D29" s="21" t="str">
        <f>IFERROR(
   VLOOKUP(
      INDEX('Shared parameters'!$A$2:$A$200,
             MATCH($A29,'Shared parameters'!$B$2:$B$200,0)
      ),
      'Data Entry'!$A$2:$D$200,
      4,
      FALSE
   ),
"")</f>
        <v>0.08-0.15</v>
      </c>
    </row>
    <row r="30" spans="1:6" ht="15" thickBot="1" x14ac:dyDescent="0.35">
      <c r="A30" s="21" t="str">
        <f>INDEX(SharedParams[Name],ROW(B29))</f>
        <v>DPP_DAT_ThermalConductivity_WmK</v>
      </c>
      <c r="B30" s="21">
        <f>IFERROR(
   VLOOKUP(
      INDEX('Shared parameters'!$A$2:$A$200,
             MATCH($A30,'Shared parameters'!$B$2:$B$200,0)
      ),
      'Data Entry'!$A$2:$B$200,
      2,
      FALSE
   ),
"")</f>
        <v>7.0000000000000007E-2</v>
      </c>
      <c r="C30" s="21" t="str">
        <f>IFERROR(
   VLOOKUP(
      INDEX('Shared parameters'!$A$2:$A$200,
             MATCH($A30,'Shared parameters'!$B$2:$B$200,0)
      ),
      'Data Entry'!$A$2:$C$200,
      3,
      FALSE
   ),
"")</f>
        <v>W/(mK)</v>
      </c>
      <c r="D30" s="21" t="str">
        <f>IFERROR(
   VLOOKUP(
      INDEX('Shared parameters'!$A$2:$A$200,
             MATCH($A30,'Shared parameters'!$B$2:$B$200,0)
      ),
      'Data Entry'!$A$2:$D$200,
      4,
      FALSE
   ),
"")</f>
        <v>0.05-0.22</v>
      </c>
    </row>
    <row r="31" spans="1:6" ht="15" thickBot="1" x14ac:dyDescent="0.35">
      <c r="A31" s="21" t="str">
        <f>INDEX(SharedParams[Name],ROW(B30))</f>
        <v>DPP_DAT_Uvalue_Wm2K</v>
      </c>
      <c r="B31" s="21">
        <f>IFERROR(
   VLOOKUP(
      INDEX('Shared parameters'!$A$2:$A$200,
             MATCH($A31,'Shared parameters'!$B$2:$B$200,0)
      ),
      'Data Entry'!$A$2:$B$200,
      2,
      FALSE
   ),
"")</f>
        <v>0.76</v>
      </c>
      <c r="C31" s="21" t="str">
        <f>IFERROR(
   VLOOKUP(
      INDEX('Shared parameters'!$A$2:$A$200,
             MATCH($A31,'Shared parameters'!$B$2:$B$200,0)
      ),
      'Data Entry'!$A$2:$C$200,
      3,
      FALSE
   ),
"")</f>
        <v>W/(m²K)</v>
      </c>
      <c r="D31" s="21" t="str">
        <f>IFERROR(
   VLOOKUP(
      INDEX('Shared parameters'!$A$2:$A$200,
             MATCH($A31,'Shared parameters'!$B$2:$B$200,0)
      ),
      'Data Entry'!$A$2:$D$200,
      4,
      FALSE
   ),
"")</f>
        <v>0.15-0.76</v>
      </c>
    </row>
    <row r="32" spans="1:6" ht="15" thickBot="1" x14ac:dyDescent="0.35">
      <c r="A32" s="21" t="str">
        <f>INDEX(SharedParams[Name],ROW(B31))</f>
        <v>DPP_DAT_SpeHeatCap_JkgK</v>
      </c>
      <c r="B32" s="21">
        <f>IFERROR(
   VLOOKUP(
      INDEX('Shared parameters'!$A$2:$A$200,
             MATCH($A32,'Shared parameters'!$B$2:$B$200,0)
      ),
      'Data Entry'!$A$2:$B$200,
      2,
      FALSE
   ),
"")</f>
        <v>1870</v>
      </c>
      <c r="C32" s="21" t="str">
        <f>IFERROR(
   VLOOKUP(
      INDEX('Shared parameters'!$A$2:$A$200,
             MATCH($A32,'Shared parameters'!$B$2:$B$200,0)
      ),
      'Data Entry'!$A$2:$C$200,
      3,
      FALSE
   ),
"")</f>
        <v>(J/kg.K)</v>
      </c>
      <c r="D32" s="21">
        <f>IFERROR(
   VLOOKUP(
      INDEX('Shared parameters'!$A$2:$A$200,
             MATCH($A32,'Shared parameters'!$B$2:$B$200,0)
      ),
      'Data Entry'!$A$2:$D$200,
      4,
      FALSE
   ),
"")</f>
        <v>0</v>
      </c>
    </row>
    <row r="33" spans="1:4" ht="15" thickBot="1" x14ac:dyDescent="0.35">
      <c r="A33" s="21" t="str">
        <f>INDEX(SharedParams[Name],ROW(B32))</f>
        <v>DPP_DAT_PhaseShift_Hours</v>
      </c>
      <c r="B33" s="21">
        <f>IFERROR(
   VLOOKUP(
      INDEX('Shared parameters'!$A$2:$A$200,
             MATCH($A33,'Shared parameters'!$B$2:$B$200,0)
      ),
      'Data Entry'!$A$2:$B$200,
      2,
      FALSE
   ),
"")</f>
        <v>0.13125000000000001</v>
      </c>
      <c r="C33" s="21" t="str">
        <f>IFERROR(
   VLOOKUP(
      INDEX('Shared parameters'!$A$2:$A$200,
             MATCH($A33,'Shared parameters'!$B$2:$B$200,0)
      ),
      'Data Entry'!$A$2:$C$200,
      3,
      FALSE
   ),
"")</f>
        <v>Hours</v>
      </c>
      <c r="D33" s="21" t="str">
        <f>IFERROR(
   VLOOKUP(
      INDEX('Shared parameters'!$A$2:$A$200,
             MATCH($A33,'Shared parameters'!$B$2:$B$200,0)
      ),
      'Data Entry'!$A$2:$D$200,
      4,
      FALSE
   ),
"")</f>
        <v>3:09-24:30</v>
      </c>
    </row>
    <row r="34" spans="1:4" ht="15" thickBot="1" x14ac:dyDescent="0.35">
      <c r="A34" s="21" t="str">
        <f>INDEX(SharedParams[Name],ROW(B33))</f>
        <v>DPP_DAT_MoistureBuffer_m2%HR</v>
      </c>
      <c r="B34" s="21">
        <f>IFERROR(
   VLOOKUP(
      INDEX('Shared parameters'!$A$2:$A$200,
             MATCH($A34,'Shared parameters'!$B$2:$B$200,0)
      ),
      'Data Entry'!$A$2:$B$200,
      2,
      FALSE
   ),
"")</f>
        <v>2.35</v>
      </c>
      <c r="C34" s="21" t="str">
        <f>IFERROR(
   VLOOKUP(
      INDEX('Shared parameters'!$A$2:$A$200,
             MATCH($A34,'Shared parameters'!$B$2:$B$200,0)
      ),
      'Data Entry'!$A$2:$C$200,
      3,
      FALSE
   ),
"")</f>
        <v>g/m²%HR</v>
      </c>
      <c r="D34" s="21" t="str">
        <f>IFERROR(
   VLOOKUP(
      INDEX('Shared parameters'!$A$2:$A$200,
             MATCH($A34,'Shared parameters'!$B$2:$B$200,0)
      ),
      'Data Entry'!$A$2:$D$200,
      4,
      FALSE
   ),
"")</f>
        <v>0-2.5</v>
      </c>
    </row>
    <row r="35" spans="1:4" ht="15" thickBot="1" x14ac:dyDescent="0.35">
      <c r="A35" s="21" t="str">
        <f>INDEX(SharedParams[Name],ROW(B34))</f>
        <v>DPP_DAT_VaporDiffμ_wet</v>
      </c>
      <c r="B35" s="21">
        <f>IFERROR(
   VLOOKUP(
      INDEX('Shared parameters'!$A$2:$A$200,
             MATCH($A35,'Shared parameters'!$B$2:$B$200,0)
      ),
      'Data Entry'!$A$2:$B$200,
      2,
      FALSE
   ),
"")</f>
        <v>3.8</v>
      </c>
      <c r="C35" s="21" t="str">
        <f>IFERROR(
   VLOOKUP(
      INDEX('Shared parameters'!$A$2:$A$200,
             MATCH($A35,'Shared parameters'!$B$2:$B$200,0)
      ),
      'Data Entry'!$A$2:$C$200,
      3,
      FALSE
   ),
"")</f>
        <v>μ</v>
      </c>
      <c r="D35" s="21" t="str">
        <f>IFERROR(
   VLOOKUP(
      INDEX('Shared parameters'!$A$2:$A$200,
             MATCH($A35,'Shared parameters'!$B$2:$B$200,0)
      ),
      'Data Entry'!$A$2:$D$200,
      4,
      FALSE
   ),
"")</f>
        <v>4.9 - 5.7</v>
      </c>
    </row>
    <row r="36" spans="1:4" ht="15" thickBot="1" x14ac:dyDescent="0.35">
      <c r="A36" s="21" t="str">
        <f>INDEX(SharedParams[Name],ROW(B35))</f>
        <v>DPP_DAT_VaporDiffμ_dry</v>
      </c>
      <c r="B36" s="21">
        <f>IFERROR(
   VLOOKUP(
      INDEX('Shared parameters'!$A$2:$A$200,
             MATCH($A36,'Shared parameters'!$B$2:$B$200,0)
      ),
      'Data Entry'!$A$2:$B$200,
      2,
      FALSE
   ),
"")</f>
        <v>4.3</v>
      </c>
      <c r="C36" s="21" t="str">
        <f>IFERROR(
   VLOOKUP(
      INDEX('Shared parameters'!$A$2:$A$200,
             MATCH($A36,'Shared parameters'!$B$2:$B$200,0)
      ),
      'Data Entry'!$A$2:$C$200,
      3,
      FALSE
   ),
"")</f>
        <v>μ</v>
      </c>
      <c r="D36" s="21" t="str">
        <f>IFERROR(
   VLOOKUP(
      INDEX('Shared parameters'!$A$2:$A$200,
             MATCH($A36,'Shared parameters'!$B$2:$B$200,0)
      ),
      'Data Entry'!$A$2:$D$200,
      4,
      FALSE
   ),
"")</f>
        <v>12.2 - 12.4</v>
      </c>
    </row>
    <row r="37" spans="1:4" ht="15" thickBot="1" x14ac:dyDescent="0.35">
      <c r="A37" s="21" t="str">
        <f>INDEX(SharedParams[Name],ROW(B36))</f>
        <v>DPP_DAT_VaporAbsorption</v>
      </c>
      <c r="B37" s="21">
        <f>IFERROR(
   VLOOKUP(
      INDEX('Shared parameters'!$A$2:$A$200,
             MATCH($A37,'Shared parameters'!$B$2:$B$200,0)
      ),
      'Data Entry'!$A$2:$B$200,
      2,
      FALSE
   ),
"")</f>
        <v>19</v>
      </c>
      <c r="C37" s="21" t="str">
        <f>IFERROR(
   VLOOKUP(
      INDEX('Shared parameters'!$A$2:$A$200,
             MATCH($A37,'Shared parameters'!$B$2:$B$200,0)
      ),
      'Data Entry'!$A$2:$C$200,
      3,
      FALSE
   ),
"")</f>
        <v>d[g/m²vh]</v>
      </c>
      <c r="D37" s="21" t="str">
        <f>IFERROR(
   VLOOKUP(
      INDEX('Shared parameters'!$A$2:$A$200,
             MATCH($A37,'Shared parameters'!$B$2:$B$200,0)
      ),
      'Data Entry'!$A$2:$D$200,
      4,
      FALSE
   ),
"")</f>
        <v>—</v>
      </c>
    </row>
    <row r="38" spans="1:4" ht="15" thickBot="1" x14ac:dyDescent="0.35">
      <c r="A38" s="21" t="str">
        <f>INDEX(SharedParams[Name],ROW(B37))</f>
        <v>DPP_DAT_StandarCompliance</v>
      </c>
      <c r="B38" s="21" t="str">
        <f>IFERROR(
   VLOOKUP(
      INDEX('Shared parameters'!$A$2:$A$200,
             MATCH($A38,'Shared parameters'!$B$2:$B$200,0)
      ),
      'Data Entry'!$A$2:$B$200,
      2,
      FALSE
   ),
"")</f>
        <v>Yes</v>
      </c>
      <c r="C38" s="21" t="str">
        <f>IFERROR(
   VLOOKUP(
      INDEX('Shared parameters'!$A$2:$A$200,
             MATCH($A38,'Shared parameters'!$B$2:$B$200,0)
      ),
      'Data Entry'!$A$2:$C$200,
      3,
      FALSE
   ),
"")</f>
        <v>—</v>
      </c>
      <c r="D38" s="21" t="str">
        <f>IFERROR(
   VLOOKUP(
      INDEX('Shared parameters'!$A$2:$A$200,
             MATCH($A38,'Shared parameters'!$B$2:$B$200,0)
      ),
      'Data Entry'!$A$2:$D$200,
      4,
      FALSE
   ),
"")</f>
        <v>Yes/No</v>
      </c>
    </row>
    <row r="39" spans="1:4" ht="55.8" thickBot="1" x14ac:dyDescent="0.35">
      <c r="A39" s="21" t="str">
        <f>INDEX(SharedParams[Name],ROW(B38))</f>
        <v>DPP_CIR_ConnectionType</v>
      </c>
      <c r="B39" s="21" t="str">
        <f>IFERROR(
   VLOOKUP(
      INDEX('Shared parameters'!$A$2:$A$200,
             MATCH($A39,'Shared parameters'!$B$2:$B$200,0)
      ),
      'Data Entry'!$A$2:$B$200,
      2,
      FALSE
   ),
"")</f>
        <v>Mortar</v>
      </c>
      <c r="C39" s="21" t="str">
        <f>IFERROR(
   VLOOKUP(
      INDEX('Shared parameters'!$A$2:$A$200,
             MATCH($A39,'Shared parameters'!$B$2:$B$200,0)
      ),
      'Data Entry'!$A$2:$C$200,
      3,
      FALSE
   ),
"")</f>
        <v>—</v>
      </c>
      <c r="D39" s="21" t="str">
        <f>IFERROR(
   VLOOKUP(
      INDEX('Shared parameters'!$A$2:$A$200,
             MATCH($A39,'Shared parameters'!$B$2:$B$200,0)
      ),
      'Data Entry'!$A$2:$D$200,
      4,
      FALSE
   ),
"")</f>
        <v>Dry interlock / bolted / screwed; Mortar / adhesive / binder-based; Cast-in-place</v>
      </c>
    </row>
    <row r="40" spans="1:4" ht="15" thickBot="1" x14ac:dyDescent="0.35">
      <c r="A40" s="21" t="str">
        <f>INDEX(SharedParams[Name],ROW(B39))</f>
        <v>DPP_CIR_ConnectionScore</v>
      </c>
      <c r="B40" s="21">
        <f>IFERROR(
   VLOOKUP(
      INDEX('Shared parameters'!$A$2:$A$200,
             MATCH($A40,'Shared parameters'!$B$2:$B$200,0)
      ),
      'Data Entry'!$A$2:$B$200,
      2,
      FALSE
   ),
"")</f>
        <v>0.3</v>
      </c>
      <c r="C40" s="21" t="str">
        <f>IFERROR(
   VLOOKUP(
      INDEX('Shared parameters'!$A$2:$A$200,
             MATCH($A40,'Shared parameters'!$B$2:$B$200,0)
      ),
      'Data Entry'!$A$2:$C$200,
      3,
      FALSE
   ),
"")</f>
        <v>Score</v>
      </c>
      <c r="D40" s="21" t="str">
        <f>IFERROR(
   VLOOKUP(
      INDEX('Shared parameters'!$A$2:$A$200,
             MATCH($A40,'Shared parameters'!$B$2:$B$200,0)
      ),
      'Data Entry'!$A$2:$D$200,
      4,
      FALSE
   ),
"")</f>
        <v>0.0 (easy) - 1.0 (hard)</v>
      </c>
    </row>
    <row r="41" spans="1:4" ht="15" thickBot="1" x14ac:dyDescent="0.35">
      <c r="A41" s="21" t="str">
        <f>INDEX(SharedParams[Name],ROW(B40))</f>
        <v>DPP_CIR_Prefabrication</v>
      </c>
      <c r="B41" s="21" t="str">
        <f>IFERROR(
   VLOOKUP(
      INDEX('Shared parameters'!$A$2:$A$200,
             MATCH($A41,'Shared parameters'!$B$2:$B$200,0)
      ),
      'Data Entry'!$A$2:$B$200,
      2,
      FALSE
   ),
"")</f>
        <v>Yes</v>
      </c>
      <c r="C41" s="21" t="str">
        <f>IFERROR(
   VLOOKUP(
      INDEX('Shared parameters'!$A$2:$A$200,
             MATCH($A41,'Shared parameters'!$B$2:$B$200,0)
      ),
      'Data Entry'!$A$2:$C$200,
      3,
      FALSE
   ),
"")</f>
        <v>—</v>
      </c>
      <c r="D41" s="21" t="str">
        <f>IFERROR(
   VLOOKUP(
      INDEX('Shared parameters'!$A$2:$A$200,
             MATCH($A41,'Shared parameters'!$B$2:$B$200,0)
      ),
      'Data Entry'!$A$2:$D$200,
      4,
      FALSE
   ),
"")</f>
        <v>Yes/No</v>
      </c>
    </row>
    <row r="42" spans="1:4" ht="15" thickBot="1" x14ac:dyDescent="0.35">
      <c r="A42" s="21" t="str">
        <f>INDEX(SharedParams[Name],ROW(B41))</f>
        <v>DPP_CIR_PrefabricationFactor</v>
      </c>
      <c r="B42" s="21">
        <f>IFERROR(
   VLOOKUP(
      INDEX('Shared parameters'!$A$2:$A$200,
             MATCH($A42,'Shared parameters'!$B$2:$B$200,0)
      ),
      'Data Entry'!$A$2:$B$200,
      2,
      FALSE
   ),
"")</f>
        <v>1</v>
      </c>
      <c r="C42" s="21" t="str">
        <f>IFERROR(
   VLOOKUP(
      INDEX('Shared parameters'!$A$2:$A$200,
             MATCH($A42,'Shared parameters'!$B$2:$B$200,0)
      ),
      'Data Entry'!$A$2:$C$200,
      3,
      FALSE
   ),
"")</f>
        <v>Score</v>
      </c>
      <c r="D42" s="21" t="str">
        <f>IFERROR(
   VLOOKUP(
      INDEX('Shared parameters'!$A$2:$A$200,
             MATCH($A42,'Shared parameters'!$B$2:$B$200,0)
      ),
      'Data Entry'!$A$2:$D$200,
      4,
      FALSE
   ),
"")</f>
        <v>1 (Yes) - 0 (No)</v>
      </c>
    </row>
    <row r="43" spans="1:4" ht="15" thickBot="1" x14ac:dyDescent="0.35">
      <c r="A43" s="21" t="str">
        <f>INDEX(SharedParams[Name],ROW(B42))</f>
        <v>DPP_CIR_DeconstructabilityScore</v>
      </c>
      <c r="B43" s="21">
        <f>IFERROR(
   VLOOKUP(
      INDEX('Shared parameters'!$A$2:$A$200,
             MATCH($A43,'Shared parameters'!$B$2:$B$200,0)
      ),
      'Data Entry'!$A$2:$B$200,
      2,
      FALSE
   ),
"")</f>
        <v>0.5</v>
      </c>
      <c r="C43" s="21" t="str">
        <f>IFERROR(
   VLOOKUP(
      INDEX('Shared parameters'!$A$2:$A$200,
             MATCH($A43,'Shared parameters'!$B$2:$B$200,0)
      ),
      'Data Entry'!$A$2:$C$200,
      3,
      FALSE
   ),
"")</f>
        <v>Score</v>
      </c>
      <c r="D43" s="21" t="str">
        <f>IFERROR(
   VLOOKUP(
      INDEX('Shared parameters'!$A$2:$A$200,
             MATCH($A43,'Shared parameters'!$B$2:$B$200,0)
      ),
      'Data Entry'!$A$2:$D$200,
      4,
      FALSE
   ),
"")</f>
        <v>0.0-1.0</v>
      </c>
    </row>
    <row r="44" spans="1:4" ht="15" thickBot="1" x14ac:dyDescent="0.35">
      <c r="A44" s="21" t="str">
        <f>INDEX(SharedParams[Name],ROW(B43))</f>
        <v>DPP_CIR_RecyclingPotential</v>
      </c>
      <c r="B44" s="21">
        <f>IFERROR(
   VLOOKUP(
      INDEX('Shared parameters'!$A$2:$A$200,
             MATCH($A44,'Shared parameters'!$B$2:$B$200,0)
      ),
      'Data Entry'!$A$2:$B$200,
      2,
      FALSE
   ),
"")</f>
        <v>100</v>
      </c>
      <c r="C44" s="21" t="str">
        <f>IFERROR(
   VLOOKUP(
      INDEX('Shared parameters'!$A$2:$A$200,
             MATCH($A44,'Shared parameters'!$B$2:$B$200,0)
      ),
      'Data Entry'!$A$2:$C$200,
      3,
      FALSE
   ),
"")</f>
        <v>%</v>
      </c>
      <c r="D44" s="21" t="str">
        <f>IFERROR(
   VLOOKUP(
      INDEX('Shared parameters'!$A$2:$A$200,
             MATCH($A44,'Shared parameters'!$B$2:$B$200,0)
      ),
      'Data Entry'!$A$2:$D$200,
      4,
      FALSE
   ),
"")</f>
        <v>1-100%</v>
      </c>
    </row>
    <row r="45" spans="1:4" ht="15" thickBot="1" x14ac:dyDescent="0.35">
      <c r="A45" s="21" t="str">
        <f>INDEX(SharedParams[Name],ROW(B44))</f>
        <v>DPP_CIR_Reusability</v>
      </c>
      <c r="B45" s="21" t="str">
        <f>IFERROR(
   VLOOKUP(
      INDEX('Shared parameters'!$A$2:$A$200,
             MATCH($A45,'Shared parameters'!$B$2:$B$200,0)
      ),
      'Data Entry'!$A$2:$B$200,
      2,
      FALSE
   ),
"")</f>
        <v>No</v>
      </c>
      <c r="C45" s="21" t="str">
        <f>IFERROR(
   VLOOKUP(
      INDEX('Shared parameters'!$A$2:$A$200,
             MATCH($A45,'Shared parameters'!$B$2:$B$200,0)
      ),
      'Data Entry'!$A$2:$C$200,
      3,
      FALSE
   ),
"")</f>
        <v>—</v>
      </c>
      <c r="D45" s="21" t="str">
        <f>IFERROR(
   VLOOKUP(
      INDEX('Shared parameters'!$A$2:$A$200,
             MATCH($A45,'Shared parameters'!$B$2:$B$200,0)
      ),
      'Data Entry'!$A$2:$D$200,
      4,
      FALSE
   ),
"")</f>
        <v>Yes/No</v>
      </c>
    </row>
    <row r="46" spans="1:4" ht="15" thickBot="1" x14ac:dyDescent="0.35">
      <c r="A46" s="21" t="str">
        <f>INDEX(SharedParams[Name],ROW(B45))</f>
        <v>DPP_CIR_ReusabilityPotential</v>
      </c>
      <c r="B46" s="21">
        <f>IFERROR(
   VLOOKUP(
      INDEX('Shared parameters'!$A$2:$A$200,
             MATCH($A46,'Shared parameters'!$B$2:$B$200,0)
      ),
      'Data Entry'!$A$2:$B$200,
      2,
      FALSE
   ),
"")</f>
        <v>0</v>
      </c>
      <c r="C46" s="21" t="str">
        <f>IFERROR(
   VLOOKUP(
      INDEX('Shared parameters'!$A$2:$A$200,
             MATCH($A46,'Shared parameters'!$B$2:$B$200,0)
      ),
      'Data Entry'!$A$2:$C$200,
      3,
      FALSE
   ),
"")</f>
        <v>Score</v>
      </c>
      <c r="D46" s="21" t="str">
        <f>IFERROR(
   VLOOKUP(
      INDEX('Shared parameters'!$A$2:$A$200,
             MATCH($A46,'Shared parameters'!$B$2:$B$200,0)
      ),
      'Data Entry'!$A$2:$D$200,
      4,
      FALSE
   ),
"")</f>
        <v>0-1</v>
      </c>
    </row>
    <row r="47" spans="1:4" ht="15" thickBot="1" x14ac:dyDescent="0.35">
      <c r="A47" s="21" t="str">
        <f>INDEX(SharedParams[Name],ROW(B46))</f>
        <v>DPP_CIR_RecoveryScore</v>
      </c>
      <c r="B47" s="21">
        <f>IFERROR(
   VLOOKUP(
      INDEX('Shared parameters'!$A$2:$A$200,
             MATCH($A47,'Shared parameters'!$B$2:$B$200,0)
      ),
      'Data Entry'!$A$2:$B$200,
      2,
      FALSE
   ),
"")</f>
        <v>0.5</v>
      </c>
      <c r="C47" s="21" t="str">
        <f>IFERROR(
   VLOOKUP(
      INDEX('Shared parameters'!$A$2:$A$200,
             MATCH($A47,'Shared parameters'!$B$2:$B$200,0)
      ),
      'Data Entry'!$A$2:$C$200,
      3,
      FALSE
   ),
"")</f>
        <v>Score</v>
      </c>
      <c r="D47" s="21" t="str">
        <f>IFERROR(
   VLOOKUP(
      INDEX('Shared parameters'!$A$2:$A$200,
             MATCH($A47,'Shared parameters'!$B$2:$B$200,0)
      ),
      'Data Entry'!$A$2:$D$200,
      4,
      FALSE
   ),
"")</f>
        <v>0.0-1.0</v>
      </c>
    </row>
    <row r="48" spans="1:4" ht="28.2" thickBot="1" x14ac:dyDescent="0.35">
      <c r="A48" s="21" t="str">
        <f>INDEX(SharedParams[Name],ROW(B47))</f>
        <v>DPP_CIR_Disassemblypotential</v>
      </c>
      <c r="B48" s="21">
        <f>IFERROR(
   VLOOKUP(
      INDEX('Shared parameters'!$A$2:$A$200,
             MATCH($A48,'Shared parameters'!$B$2:$B$200,0)
      ),
      'Data Entry'!$A$2:$B$200,
      2,
      FALSE
   ),
"")</f>
        <v>3</v>
      </c>
      <c r="C48" s="21" t="str">
        <f>IFERROR(
   VLOOKUP(
      INDEX('Shared parameters'!$A$2:$A$200,
             MATCH($A48,'Shared parameters'!$B$2:$B$200,0)
      ),
      'Data Entry'!$A$2:$C$200,
      3,
      FALSE
   ),
"")</f>
        <v>Score</v>
      </c>
      <c r="D48" s="21" t="str">
        <f>IFERROR(
   VLOOKUP(
      INDEX('Shared parameters'!$A$2:$A$200,
             MATCH($A48,'Shared parameters'!$B$2:$B$200,0)
      ),
      'Data Entry'!$A$2:$D$200,
      4,
      FALSE
   ),
"")</f>
        <v>1 (Dificult)- 2 (Moderate)- 3 (Easy)</v>
      </c>
    </row>
    <row r="49" spans="1:4" ht="83.4" thickBot="1" x14ac:dyDescent="0.35">
      <c r="A49" s="21" t="str">
        <f>INDEX(SharedParams[Name],ROW(B48))</f>
        <v>DPP_CIR_DisassemblyInstructions</v>
      </c>
      <c r="B49" s="21" t="str">
        <f>IFERROR(
   VLOOKUP(
      INDEX('Shared parameters'!$A$2:$A$200,
             MATCH($A49,'Shared parameters'!$B$2:$B$200,0)
      ),
      'Data Entry'!$A$2:$B$200,
      2,
      FALSE
   ),
"")</f>
        <v>Mechanical dismantling: Crushing and Sieving for Recycling</v>
      </c>
      <c r="C49" s="21" t="str">
        <f>IFERROR(
   VLOOKUP(
      INDEX('Shared parameters'!$A$2:$A$200,
             MATCH($A49,'Shared parameters'!$B$2:$B$200,0)
      ),
      'Data Entry'!$A$2:$C$200,
      3,
      FALSE
   ),
"")</f>
        <v>—</v>
      </c>
      <c r="D49" s="21" t="str">
        <f>IFERROR(
   VLOOKUP(
      INDEX('Shared parameters'!$A$2:$A$200,
             MATCH($A49,'Shared parameters'!$B$2:$B$200,0)
      ),
      'Data Entry'!$A$2:$D$200,
      4,
      FALSE
   ),
"")</f>
        <v>Manual dismantling; Semi-Mechanical Disassembly; Thermal Disassembly; Chemical Disassembly; Demolition; Modular Disassembly</v>
      </c>
    </row>
    <row r="50" spans="1:4" ht="111" thickBot="1" x14ac:dyDescent="0.35">
      <c r="A50" s="21" t="str">
        <f>INDEX(SharedParams[Name],ROW(B49))</f>
        <v>DPP_CIR_SecondaryUse</v>
      </c>
      <c r="B50" s="21" t="str">
        <f>IFERROR(
   VLOOKUP(
      INDEX('Shared parameters'!$A$2:$A$200,
             MATCH($A50,'Shared parameters'!$B$2:$B$200,0)
      ),
      'Data Entry'!$A$2:$B$200,
      2,
      FALSE
   ),
"")</f>
        <v>Reused on the construction site for applications requiring increased density, such as floor material</v>
      </c>
      <c r="C50" s="21" t="str">
        <f>IFERROR(
   VLOOKUP(
      INDEX('Shared parameters'!$A$2:$A$200,
             MATCH($A50,'Shared parameters'!$B$2:$B$200,0)
      ),
      'Data Entry'!$A$2:$C$200,
      3,
      FALSE
   ),
"")</f>
        <v>—</v>
      </c>
      <c r="D50" s="21" t="str">
        <f>IFERROR(
   VLOOKUP(
      INDEX('Shared parameters'!$A$2:$A$200,
             MATCH($A50,'Shared parameters'!$B$2:$B$200,0)
      ),
      'Data Entry'!$A$2:$D$200,
      4,
      FALSE
   ),
"")</f>
        <v>Direc reuse; Partial reuse; Reprocessing into aggregare; Soil amendment; Upcycling into thermal or acoustic insulation; Upcycling into new composites or panels; Backfilling</v>
      </c>
    </row>
    <row r="51" spans="1:4" ht="42" thickBot="1" x14ac:dyDescent="0.35">
      <c r="A51" s="21" t="str">
        <f>INDEX(SharedParams[Name],ROW(B50))</f>
        <v>DPP_CIR_EndofLifeRecomendations</v>
      </c>
      <c r="B51" s="21" t="str">
        <f>IFERROR(
   VLOOKUP(
      INDEX('Shared parameters'!$A$2:$A$200,
             MATCH($A51,'Shared parameters'!$B$2:$B$200,0)
      ),
      'Data Entry'!$A$2:$B$200,
      2,
      FALSE
   ),
"")</f>
        <v>Composting and soil improvement; Disposal via incineration</v>
      </c>
      <c r="C51" s="21" t="str">
        <f>IFERROR(
   VLOOKUP(
      INDEX('Shared parameters'!$A$2:$A$200,
             MATCH($A51,'Shared parameters'!$B$2:$B$200,0)
      ),
      'Data Entry'!$A$2:$C$200,
      3,
      FALSE
   ),
"")</f>
        <v>—</v>
      </c>
      <c r="D51" s="21" t="str">
        <f>IFERROR(
   VLOOKUP(
      INDEX('Shared parameters'!$A$2:$A$200,
             MATCH($A51,'Shared parameters'!$B$2:$B$200,0)
      ),
      'Data Entry'!$A$2:$D$200,
      4,
      FALSE
   ),
"")</f>
        <v>Biological recovery; Material recyclcing; Energy recovery; Landfill disposal</v>
      </c>
    </row>
    <row r="52" spans="1:4" ht="15" thickBot="1" x14ac:dyDescent="0.35">
      <c r="A52" s="21" t="str">
        <f>INDEX(SharedParams[Name],ROW(B51))</f>
        <v>DPP_END_EPD</v>
      </c>
      <c r="B52" s="21" t="str">
        <f>IFERROR(
   VLOOKUP(
      INDEX('Shared parameters'!$A$2:$A$200,
             MATCH($A52,'Shared parameters'!$B$2:$B$200,0)
      ),
      'Data Entry'!$A$2:$B$200,
      2,
      FALSE
   ),
"")</f>
        <v>Yes</v>
      </c>
      <c r="C52" s="21" t="str">
        <f>IFERROR(
   VLOOKUP(
      INDEX('Shared parameters'!$A$2:$A$200,
             MATCH($A52,'Shared parameters'!$B$2:$B$200,0)
      ),
      'Data Entry'!$A$2:$C$200,
      3,
      FALSE
   ),
"")</f>
        <v>—</v>
      </c>
      <c r="D52" s="21" t="str">
        <f>IFERROR(
   VLOOKUP(
      INDEX('Shared parameters'!$A$2:$A$200,
             MATCH($A52,'Shared parameters'!$B$2:$B$200,0)
      ),
      'Data Entry'!$A$2:$D$200,
      4,
      FALSE
   ),
"")</f>
        <v>Yes/No</v>
      </c>
    </row>
    <row r="53" spans="1:4" ht="55.8" thickBot="1" x14ac:dyDescent="0.35">
      <c r="A53" s="21" t="str">
        <f>INDEX(SharedParams[Name],ROW(B52))</f>
        <v>DPP_END_EPD_URL</v>
      </c>
      <c r="B53" s="21" t="str">
        <f>IFERROR(
   VLOOKUP(
      INDEX('Shared parameters'!$A$2:$A$200,
             MATCH($A53,'Shared parameters'!$B$2:$B$200,0)
      ),
      'Data Entry'!$A$2:$B$200,
      2,
      FALSE
   ),
"")</f>
        <v>https://www.bau-epd.at/epd/data/schoenthaler-bausteinwerk-gmbh-hanfsteine-ecoinvent-2025</v>
      </c>
      <c r="C53" s="21" t="str">
        <f>IFERROR(
   VLOOKUP(
      INDEX('Shared parameters'!$A$2:$A$200,
             MATCH($A53,'Shared parameters'!$B$2:$B$200,0)
      ),
      'Data Entry'!$A$2:$C$200,
      3,
      FALSE
   ),
"")</f>
        <v>URL</v>
      </c>
      <c r="D53" s="21" t="str">
        <f>IFERROR(
   VLOOKUP(
      INDEX('Shared parameters'!$A$2:$A$200,
             MATCH($A53,'Shared parameters'!$B$2:$B$200,0)
      ),
      'Data Entry'!$A$2:$D$200,
      4,
      FALSE
   ),
"")</f>
        <v>—</v>
      </c>
    </row>
    <row r="54" spans="1:4" ht="28.2" thickBot="1" x14ac:dyDescent="0.35">
      <c r="A54" s="21" t="str">
        <f>INDEX(SharedParams[Name],ROW(B53))</f>
        <v>DPP_END_GWP_kgCO₂eq</v>
      </c>
      <c r="B54" s="21">
        <f>IFERROR(
   VLOOKUP(
      INDEX('Shared parameters'!$A$2:$A$200,
             MATCH($A54,'Shared parameters'!$B$2:$B$200,0)
      ),
      'Data Entry'!$A$2:$B$200,
      2,
      FALSE
   ),
"")</f>
        <v>1.3392000000000002</v>
      </c>
      <c r="C54" s="21" t="str">
        <f>IFERROR(
   VLOOKUP(
      INDEX('Shared parameters'!$A$2:$A$200,
             MATCH($A54,'Shared parameters'!$B$2:$B$200,0)
      ),
      'Data Entry'!$A$2:$C$200,
      3,
      FALSE
   ),
"")</f>
        <v>kg CO₂eq./ Block</v>
      </c>
      <c r="D54" s="21" t="str">
        <f>IFERROR(
   VLOOKUP(
      INDEX('Shared parameters'!$A$2:$A$200,
             MATCH($A54,'Shared parameters'!$B$2:$B$200,0)
      ),
      'Data Entry'!$A$2:$D$200,
      4,
      FALSE
   ),
"")</f>
        <v>-6.6 - 3.8</v>
      </c>
    </row>
    <row r="55" spans="1:4" ht="15" thickBot="1" x14ac:dyDescent="0.35">
      <c r="A55" s="21" t="str">
        <f>INDEX(SharedParams[Name],ROW(B54))</f>
        <v>DPP_END_PEI_MJKg</v>
      </c>
      <c r="B55" s="21">
        <f>IFERROR(
   VLOOKUP(
      INDEX('Shared parameters'!$A$2:$A$200,
             MATCH($A55,'Shared parameters'!$B$2:$B$200,0)
      ),
      'Data Entry'!$A$2:$B$200,
      2,
      FALSE
   ),
"")</f>
        <v>0</v>
      </c>
      <c r="C55" s="21">
        <f>IFERROR(
   VLOOKUP(
      INDEX('Shared parameters'!$A$2:$A$200,
             MATCH($A55,'Shared parameters'!$B$2:$B$200,0)
      ),
      'Data Entry'!$A$2:$C$200,
      3,
      FALSE
   ),
"")</f>
        <v>0</v>
      </c>
      <c r="D55" s="21">
        <f>IFERROR(
   VLOOKUP(
      INDEX('Shared parameters'!$A$2:$A$200,
             MATCH($A55,'Shared parameters'!$B$2:$B$200,0)
      ),
      'Data Entry'!$A$2:$D$200,
      4,
      FALSE
   ),
"")</f>
        <v>0</v>
      </c>
    </row>
    <row r="56" spans="1:4" ht="15" thickBot="1" x14ac:dyDescent="0.35">
      <c r="A56" s="21" t="str">
        <f>INDEX(SharedParams[Name],ROW(B55))</f>
        <v>DPP_END_PERT_MJKg</v>
      </c>
      <c r="B56" s="21">
        <f>IFERROR(
   VLOOKUP(
      INDEX('Shared parameters'!$A$2:$A$200,
             MATCH($A56,'Shared parameters'!$B$2:$B$200,0)
      ),
      'Data Entry'!$A$2:$B$200,
      2,
      FALSE
   ),
"")</f>
        <v>18.408720000000002</v>
      </c>
      <c r="C56" s="21" t="str">
        <f>IFERROR(
   VLOOKUP(
      INDEX('Shared parameters'!$A$2:$A$200,
             MATCH($A56,'Shared parameters'!$B$2:$B$200,0)
      ),
      'Data Entry'!$A$2:$C$200,
      3,
      FALSE
   ),
"")</f>
        <v>MJ</v>
      </c>
      <c r="D56" s="21" t="str">
        <f>IFERROR(
   VLOOKUP(
      INDEX('Shared parameters'!$A$2:$A$200,
             MATCH($A56,'Shared parameters'!$B$2:$B$200,0)
      ),
      'Data Entry'!$A$2:$D$200,
      4,
      FALSE
   ),
"")</f>
        <v>10 - 30</v>
      </c>
    </row>
    <row r="57" spans="1:4" ht="15" thickBot="1" x14ac:dyDescent="0.35">
      <c r="A57" s="21" t="str">
        <f>INDEX(SharedParams[Name],ROW(B56))</f>
        <v>DPP_END_PENRT_MJKg</v>
      </c>
      <c r="B57" s="21">
        <f>IFERROR(
   VLOOKUP(
      INDEX('Shared parameters'!$A$2:$A$200,
             MATCH($A57,'Shared parameters'!$B$2:$B$200,0)
      ),
      'Data Entry'!$A$2:$B$200,
      2,
      FALSE
   ),
"")</f>
        <v>17.026880000000002</v>
      </c>
      <c r="C57" s="21" t="str">
        <f>IFERROR(
   VLOOKUP(
      INDEX('Shared parameters'!$A$2:$A$200,
             MATCH($A57,'Shared parameters'!$B$2:$B$200,0)
      ),
      'Data Entry'!$A$2:$C$200,
      3,
      FALSE
   ),
"")</f>
        <v>MJ</v>
      </c>
      <c r="D57" s="21" t="str">
        <f>IFERROR(
   VLOOKUP(
      INDEX('Shared parameters'!$A$2:$A$200,
             MATCH($A57,'Shared parameters'!$B$2:$B$200,0)
      ),
      'Data Entry'!$A$2:$D$200,
      4,
      FALSE
   ),
"")</f>
        <v>8 - 25</v>
      </c>
    </row>
    <row r="58" spans="1:4" ht="15" thickBot="1" x14ac:dyDescent="0.35">
      <c r="A58" s="21" t="str">
        <f>INDEX(SharedParams[Name],ROW(B57))</f>
        <v>DPP_END_AP_kgSO₂eq</v>
      </c>
      <c r="B58" s="21">
        <f>IFERROR(
   VLOOKUP(
      INDEX('Shared parameters'!$A$2:$A$200,
             MATCH($A58,'Shared parameters'!$B$2:$B$200,0)
      ),
      'Data Entry'!$A$2:$B$200,
      2,
      FALSE
   ),
"")</f>
        <v>2.4935000000000002E-4</v>
      </c>
      <c r="C58" s="21" t="str">
        <f>IFERROR(
   VLOOKUP(
      INDEX('Shared parameters'!$A$2:$A$200,
             MATCH($A58,'Shared parameters'!$B$2:$B$200,0)
      ),
      'Data Entry'!$A$2:$C$200,
      3,
      FALSE
   ),
"")</f>
        <v>kg SO₂ eq.</v>
      </c>
      <c r="D58" s="21" t="str">
        <f>IFERROR(
   VLOOKUP(
      INDEX('Shared parameters'!$A$2:$A$200,
             MATCH($A58,'Shared parameters'!$B$2:$B$200,0)
      ),
      'Data Entry'!$A$2:$D$200,
      4,
      FALSE
   ),
"")</f>
        <v>0.0001 - 0.0006</v>
      </c>
    </row>
    <row r="59" spans="1:4" ht="28.2" thickBot="1" x14ac:dyDescent="0.35">
      <c r="A59" s="21" t="str">
        <f>INDEX(SharedParams[Name],ROW(B58))</f>
        <v>DPP_END_EmbodiedCarbon_kgCO₂eq</v>
      </c>
      <c r="B59" s="21">
        <f>IFERROR(
   VLOOKUP(
      INDEX('Shared parameters'!$A$2:$A$200,
             MATCH($A59,'Shared parameters'!$B$2:$B$200,0)
      ),
      'Data Entry'!$A$2:$B$200,
      2,
      FALSE
   ),
"")</f>
        <v>-1.744</v>
      </c>
      <c r="C59" s="21" t="str">
        <f>IFERROR(
   VLOOKUP(
      INDEX('Shared parameters'!$A$2:$A$200,
             MATCH($A59,'Shared parameters'!$B$2:$B$200,0)
      ),
      'Data Entry'!$A$2:$C$200,
      3,
      FALSE
   ),
"")</f>
        <v>kg CO₂eq./ Block</v>
      </c>
      <c r="D59" s="21" t="str">
        <f>IFERROR(
   VLOOKUP(
      INDEX('Shared parameters'!$A$2:$A$200,
             MATCH($A59,'Shared parameters'!$B$2:$B$200,0)
      ),
      'Data Entry'!$A$2:$D$200,
      4,
      FALSE
   ),
"")</f>
        <v>-2.5 - 2.0</v>
      </c>
    </row>
    <row r="60" spans="1:4" ht="28.2" thickBot="1" x14ac:dyDescent="0.35">
      <c r="A60" s="21" t="str">
        <f>INDEX(SharedParams[Name],ROW(B59))</f>
        <v>DPP_END_BiogenicCarbon_kgCO₂eq</v>
      </c>
      <c r="B60" s="21">
        <f>IFERROR(
   VLOOKUP(
      INDEX('Shared parameters'!$A$2:$A$200,
             MATCH($A60,'Shared parameters'!$B$2:$B$200,0)
      ),
      'Data Entry'!$A$2:$B$200,
      2,
      FALSE
   ),
"")</f>
        <v>0.44880000000000003</v>
      </c>
      <c r="C60" s="21" t="str">
        <f>IFERROR(
   VLOOKUP(
      INDEX('Shared parameters'!$A$2:$A$200,
             MATCH($A60,'Shared parameters'!$B$2:$B$200,0)
      ),
      'Data Entry'!$A$2:$C$200,
      3,
      FALSE
   ),
"")</f>
        <v>kg CO₂eq./ Block</v>
      </c>
      <c r="D60" s="21" t="str">
        <f>IFERROR(
   VLOOKUP(
      INDEX('Shared parameters'!$A$2:$A$200,
             MATCH($A60,'Shared parameters'!$B$2:$B$200,0)
      ),
      'Data Entry'!$A$2:$D$200,
      4,
      FALSE
   ),
"")</f>
        <v xml:space="preserve">0.2 - 0.8 </v>
      </c>
    </row>
    <row r="61" spans="1:4" ht="28.2" thickBot="1" x14ac:dyDescent="0.35">
      <c r="A61" s="21" t="str">
        <f>INDEX(SharedParams[Name],ROW(B60))</f>
        <v>DPP_END_EndoflifeEmissions_kgCO₂eq</v>
      </c>
      <c r="B61" s="21">
        <f>IFERROR(
   VLOOKUP(
      INDEX('Shared parameters'!$A$2:$A$200,
             MATCH($A61,'Shared parameters'!$B$2:$B$200,0)
      ),
      'Data Entry'!$A$2:$B$200,
      2,
      FALSE
   ),
"")</f>
        <v>1.7772000000000001</v>
      </c>
      <c r="C61" s="21" t="str">
        <f>IFERROR(
   VLOOKUP(
      INDEX('Shared parameters'!$A$2:$A$200,
             MATCH($A61,'Shared parameters'!$B$2:$B$200,0)
      ),
      'Data Entry'!$A$2:$C$200,
      3,
      FALSE
   ),
"")</f>
        <v>kg CO₂eq./ Block</v>
      </c>
      <c r="D61" s="21" t="str">
        <f>IFERROR(
   VLOOKUP(
      INDEX('Shared parameters'!$A$2:$A$200,
             MATCH($A61,'Shared parameters'!$B$2:$B$200,0)
      ),
      'Data Entry'!$A$2:$D$200,
      4,
      FALSE
   ),
"")</f>
        <v>1.0 - 2.5</v>
      </c>
    </row>
    <row r="62" spans="1:4" ht="15" thickBot="1" x14ac:dyDescent="0.35">
      <c r="A62" s="21" t="str">
        <f>INDEX(SharedParams[Name],ROW(B61))</f>
        <v>DPP_CIR_CircularityIndex</v>
      </c>
      <c r="B62" s="21">
        <f>IFERROR(
   VLOOKUP(
      INDEX('Shared parameters'!$A$2:$A$200,
             MATCH($A62,'Shared parameters'!$B$2:$B$200,0)
      ),
      'Data Entry'!$A$2:$B$200,
      2,
      FALSE
   ),
"")</f>
        <v>70</v>
      </c>
      <c r="C62" s="21" t="str">
        <f>IFERROR(
   VLOOKUP(
      INDEX('Shared parameters'!$A$2:$A$200,
             MATCH($A62,'Shared parameters'!$B$2:$B$200,0)
      ),
      'Data Entry'!$A$2:$C$200,
      3,
      FALSE
   ),
"")</f>
        <v>%</v>
      </c>
      <c r="D62" s="21" t="str">
        <f>IFERROR(
   VLOOKUP(
      INDEX('Shared parameters'!$A$2:$A$200,
             MATCH($A62,'Shared parameters'!$B$2:$B$200,0)
      ),
      'Data Entry'!$A$2:$D$200,
      4,
      FALSE
   ),
"")</f>
        <v>0-100</v>
      </c>
    </row>
    <row r="63" spans="1:4" ht="15" thickBot="1" x14ac:dyDescent="0.35">
      <c r="A63" s="21" t="str">
        <f>INDEX(SharedParams[Name],ROW(B62))</f>
        <v>DPP_END_Ei</v>
      </c>
      <c r="B63" s="21">
        <f>IFERROR(
   VLOOKUP(
      INDEX('Shared parameters'!$A$2:$A$200,
             MATCH($A63,'Shared parameters'!$B$2:$B$200,0)
      ),
      'Data Entry'!$A$2:$B$200,
      2,
      FALSE
   ),
"")</f>
        <v>0.99199999999999999</v>
      </c>
      <c r="C63" s="21" t="str">
        <f>IFERROR(
   VLOOKUP(
      INDEX('Shared parameters'!$A$2:$A$200,
             MATCH($A63,'Shared parameters'!$B$2:$B$200,0)
      ),
      'Data Entry'!$A$2:$C$200,
      3,
      FALSE
   ),
"")</f>
        <v>Score</v>
      </c>
      <c r="D63" s="21" t="str">
        <f>IFERROR(
   VLOOKUP(
      INDEX('Shared parameters'!$A$2:$A$200,
             MATCH($A63,'Shared parameters'!$B$2:$B$200,0)
      ),
      'Data Entry'!$A$2:$D$200,
      4,
      FALSE
   ),
"")</f>
        <v>0.0-1.0</v>
      </c>
    </row>
    <row r="64" spans="1:4" ht="15" thickBot="1" x14ac:dyDescent="0.35">
      <c r="A64" s="21" t="str">
        <f>INDEX(SharedParams[Name],ROW(B63))</f>
        <v>DPP_END_w</v>
      </c>
      <c r="B64" s="21">
        <f>IFERROR(
   VLOOKUP(
      INDEX('Shared parameters'!$A$2:$A$200,
             MATCH($A64,'Shared parameters'!$B$2:$B$200,0)
      ),
      'Data Entry'!$A$2:$B$200,
      2,
      FALSE
   ),
"")</f>
        <v>0.75</v>
      </c>
      <c r="C64" s="21" t="str">
        <f>IFERROR(
   VLOOKUP(
      INDEX('Shared parameters'!$A$2:$A$200,
             MATCH($A64,'Shared parameters'!$B$2:$B$200,0)
      ),
      'Data Entry'!$A$2:$C$200,
      3,
      FALSE
   ),
"")</f>
        <v>Score</v>
      </c>
      <c r="D64" s="21" t="str">
        <f>IFERROR(
   VLOOKUP(
      INDEX('Shared parameters'!$A$2:$A$200,
             MATCH($A64,'Shared parameters'!$B$2:$B$200,0)
      ),
      'Data Entry'!$A$2:$D$200,
      4,
      FALSE
   ),
"")</f>
        <v>0.0-1.0</v>
      </c>
    </row>
    <row r="65" spans="1:4" ht="15" thickBot="1" x14ac:dyDescent="0.35">
      <c r="A65" s="21" t="str">
        <f>INDEX(SharedParams[Name],ROW(B64))</f>
        <v>DPP_END_EnvironmentalScore</v>
      </c>
      <c r="B65" s="21">
        <f>IFERROR(
   VLOOKUP(
      INDEX('Shared parameters'!$A$2:$A$200,
             MATCH($A65,'Shared parameters'!$B$2:$B$200,0)
      ),
      'Data Entry'!$A$2:$B$200,
      2,
      FALSE
   ),
"")</f>
        <v>0.74399999999999999</v>
      </c>
      <c r="C65" s="21" t="str">
        <f>IFERROR(
   VLOOKUP(
      INDEX('Shared parameters'!$A$2:$A$200,
             MATCH($A65,'Shared parameters'!$B$2:$B$200,0)
      ),
      'Data Entry'!$A$2:$C$200,
      3,
      FALSE
   ),
"")</f>
        <v>Score</v>
      </c>
      <c r="D65" s="21" t="str">
        <f>IFERROR(
   VLOOKUP(
      INDEX('Shared parameters'!$A$2:$A$200,
             MATCH($A65,'Shared parameters'!$B$2:$B$200,0)
      ),
      'Data Entry'!$A$2:$D$200,
      4,
      FALSE
   ),
"")</f>
        <v>0.0-1.0</v>
      </c>
    </row>
    <row r="66" spans="1:4" ht="15" thickBot="1" x14ac:dyDescent="0.35">
      <c r="A66" s="21" t="str">
        <f>INDEX(SharedParams[Name],ROW(B65))</f>
        <v>DPP_TMP_ServiceLife_years</v>
      </c>
      <c r="B66" s="21">
        <f>IFERROR(
   VLOOKUP(
      INDEX('Shared parameters'!$A$2:$A$200,
             MATCH($A66,'Shared parameters'!$B$2:$B$200,0)
      ),
      'Data Entry'!$A$2:$B$200,
      2,
      FALSE
   ),
"")</f>
        <v>100</v>
      </c>
      <c r="C66" s="21" t="str">
        <f>IFERROR(
   VLOOKUP(
      INDEX('Shared parameters'!$A$2:$A$200,
             MATCH($A66,'Shared parameters'!$B$2:$B$200,0)
      ),
      'Data Entry'!$A$2:$C$200,
      3,
      FALSE
   ),
"")</f>
        <v>years</v>
      </c>
      <c r="D66" s="21" t="str">
        <f>IFERROR(
   VLOOKUP(
      INDEX('Shared parameters'!$A$2:$A$200,
             MATCH($A66,'Shared parameters'!$B$2:$B$200,0)
      ),
      'Data Entry'!$A$2:$D$200,
      4,
      FALSE
   ),
"")</f>
        <v>100 - 300</v>
      </c>
    </row>
    <row r="67" spans="1:4" ht="15" thickBot="1" x14ac:dyDescent="0.35">
      <c r="A67" s="21" t="str">
        <f>INDEX(SharedParams[Name],ROW(B66))</f>
        <v>DPP_TMP_Manteinance</v>
      </c>
      <c r="B67" s="21">
        <f>IFERROR(
   VLOOKUP(
      INDEX('Shared parameters'!$A$2:$A$200,
             MATCH($A67,'Shared parameters'!$B$2:$B$200,0)
      ),
      'Data Entry'!$A$2:$B$200,
      2,
      FALSE
   ),
"")</f>
        <v>0</v>
      </c>
      <c r="C67" s="21">
        <f>IFERROR(
   VLOOKUP(
      INDEX('Shared parameters'!$A$2:$A$200,
             MATCH($A67,'Shared parameters'!$B$2:$B$200,0)
      ),
      'Data Entry'!$A$2:$C$200,
      3,
      FALSE
   ),
"")</f>
        <v>0</v>
      </c>
      <c r="D67" s="21">
        <f>IFERROR(
   VLOOKUP(
      INDEX('Shared parameters'!$A$2:$A$200,
             MATCH($A67,'Shared parameters'!$B$2:$B$200,0)
      ),
      'Data Entry'!$A$2:$D$200,
      4,
      FALSE
   ),
"")</f>
        <v>0</v>
      </c>
    </row>
    <row r="68" spans="1:4" ht="15" thickBot="1" x14ac:dyDescent="0.35">
      <c r="A68" s="21" t="str">
        <f>INDEX(SharedParams[Name],ROW(B67))</f>
        <v>DPP_TMP_Soursing_km</v>
      </c>
      <c r="B68" s="21" t="str">
        <f>IFERROR(
   VLOOKUP(
      INDEX('Shared parameters'!$A$2:$A$200,
             MATCH($A68,'Shared parameters'!$B$2:$B$200,0)
      ),
      'Data Entry'!$A$2:$B$200,
      2,
      FALSE
   ),
"")</f>
        <v>&lt;500</v>
      </c>
      <c r="C68" s="21" t="str">
        <f>IFERROR(
   VLOOKUP(
      INDEX('Shared parameters'!$A$2:$A$200,
             MATCH($A68,'Shared parameters'!$B$2:$B$200,0)
      ),
      'Data Entry'!$A$2:$C$200,
      3,
      FALSE
   ),
"")</f>
        <v>km</v>
      </c>
      <c r="D68" s="21" t="str">
        <f>IFERROR(
   VLOOKUP(
      INDEX('Shared parameters'!$A$2:$A$200,
             MATCH($A68,'Shared parameters'!$B$2:$B$200,0)
      ),
      'Data Entry'!$A$2:$D$200,
      4,
      FALSE
   ),
"")</f>
        <v>&lt; 100 - 500</v>
      </c>
    </row>
    <row r="69" spans="1:4" ht="15" thickBot="1" x14ac:dyDescent="0.35">
      <c r="A69" s="21" t="str">
        <f>INDEX(SharedParams[Name],ROW(B68))</f>
        <v>DPP_TMP_Warranty</v>
      </c>
      <c r="B69" s="21" t="str">
        <f>IFERROR(
   VLOOKUP(
      INDEX('Shared parameters'!$A$2:$A$200,
             MATCH($A69,'Shared parameters'!$B$2:$B$200,0)
      ),
      'Data Entry'!$A$2:$B$200,
      2,
      FALSE
   ),
"")</f>
        <v>No</v>
      </c>
      <c r="C69" s="21" t="str">
        <f>IFERROR(
   VLOOKUP(
      INDEX('Shared parameters'!$A$2:$A$200,
             MATCH($A69,'Shared parameters'!$B$2:$B$200,0)
      ),
      'Data Entry'!$A$2:$C$200,
      3,
      FALSE
   ),
"")</f>
        <v>—</v>
      </c>
      <c r="D69" s="21" t="str">
        <f>IFERROR(
   VLOOKUP(
      INDEX('Shared parameters'!$A$2:$A$200,
             MATCH($A69,'Shared parameters'!$B$2:$B$200,0)
      ),
      'Data Entry'!$A$2:$D$200,
      4,
      FALSE
   ),
"")</f>
        <v>Yes/No</v>
      </c>
    </row>
    <row r="70" spans="1:4" ht="15" thickBot="1" x14ac:dyDescent="0.35">
      <c r="A70" s="21" t="str">
        <f>INDEX(SharedParams[Name],ROW(B69))</f>
        <v>DPP_TMP_Warranty_months</v>
      </c>
      <c r="B70" s="21">
        <f>IFERROR(
   VLOOKUP(
      INDEX('Shared parameters'!$A$2:$A$200,
             MATCH($A70,'Shared parameters'!$B$2:$B$200,0)
      ),
      'Data Entry'!$A$2:$B$200,
      2,
      FALSE
   ),
"")</f>
        <v>0</v>
      </c>
      <c r="C70" s="21" t="str">
        <f>IFERROR(
   VLOOKUP(
      INDEX('Shared parameters'!$A$2:$A$200,
             MATCH($A70,'Shared parameters'!$B$2:$B$200,0)
      ),
      'Data Entry'!$A$2:$C$200,
      3,
      FALSE
   ),
"")</f>
        <v>—</v>
      </c>
      <c r="D70" s="21">
        <f>IFERROR(
   VLOOKUP(
      INDEX('Shared parameters'!$A$2:$A$200,
             MATCH($A70,'Shared parameters'!$B$2:$B$200,0)
      ),
      'Data Entry'!$A$2:$D$200,
      4,
      FALSE
   ),
"")</f>
        <v>0</v>
      </c>
    </row>
    <row r="71" spans="1:4" ht="15" thickBot="1" x14ac:dyDescent="0.35">
      <c r="A71" s="21" t="str">
        <f>INDEX(SharedParams[Name],ROW(B70))</f>
        <v>DPP_TMP_UpdateHistory</v>
      </c>
      <c r="B71" s="21">
        <f>IFERROR(
   VLOOKUP(
      INDEX('Shared parameters'!$A$2:$A$200,
             MATCH($A71,'Shared parameters'!$B$2:$B$200,0)
      ),
      'Data Entry'!$A$2:$B$200,
      2,
      FALSE
   ),
"")</f>
        <v>0</v>
      </c>
      <c r="C71" s="21" t="str">
        <f>IFERROR(
   VLOOKUP(
      INDEX('Shared parameters'!$A$2:$A$200,
             MATCH($A71,'Shared parameters'!$B$2:$B$200,0)
      ),
      'Data Entry'!$A$2:$C$200,
      3,
      FALSE
   ),
"")</f>
        <v>Date</v>
      </c>
      <c r="D71" s="21" t="str">
        <f>IFERROR(
   VLOOKUP(
      INDEX('Shared parameters'!$A$2:$A$200,
             MATCH($A71,'Shared parameters'!$B$2:$B$200,0)
      ),
      'Data Entry'!$A$2:$D$200,
      4,
      FALSE
   ),
"")</f>
        <v>—</v>
      </c>
    </row>
    <row r="72" spans="1:4" ht="15" thickBot="1" x14ac:dyDescent="0.35">
      <c r="A72" s="21" t="str">
        <f>INDEX(SharedParams[Name],ROW(B71))</f>
        <v>DPP_SAD_HPD</v>
      </c>
      <c r="B72" s="21" t="str">
        <f>IFERROR(
   VLOOKUP(
      INDEX('Shared parameters'!$A$2:$A$200,
             MATCH($A72,'Shared parameters'!$B$2:$B$200,0)
      ),
      'Data Entry'!$A$2:$B$200,
      2,
      FALSE
   ),
"")</f>
        <v>No</v>
      </c>
      <c r="C72" s="21" t="str">
        <f>IFERROR(
   VLOOKUP(
      INDEX('Shared parameters'!$A$2:$A$200,
             MATCH($A72,'Shared parameters'!$B$2:$B$200,0)
      ),
      'Data Entry'!$A$2:$C$200,
      3,
      FALSE
   ),
"")</f>
        <v>—</v>
      </c>
      <c r="D72" s="21" t="str">
        <f>IFERROR(
   VLOOKUP(
      INDEX('Shared parameters'!$A$2:$A$200,
             MATCH($A72,'Shared parameters'!$B$2:$B$200,0)
      ),
      'Data Entry'!$A$2:$D$200,
      4,
      FALSE
   ),
"")</f>
        <v>Yes/No</v>
      </c>
    </row>
    <row r="73" spans="1:4" ht="15" thickBot="1" x14ac:dyDescent="0.35">
      <c r="A73" s="21" t="str">
        <f>INDEX(SharedParams[Name],ROW(B72))</f>
        <v>DPP_SAD_HPD_URL</v>
      </c>
      <c r="B73" s="21" t="str">
        <f>IFERROR(
   VLOOKUP(
      INDEX('Shared parameters'!$A$2:$A$200,
             MATCH($A73,'Shared parameters'!$B$2:$B$200,0)
      ),
      'Data Entry'!$A$2:$B$200,
      2,
      FALSE
   ),
"")</f>
        <v>—</v>
      </c>
      <c r="C73" s="21" t="str">
        <f>IFERROR(
   VLOOKUP(
      INDEX('Shared parameters'!$A$2:$A$200,
             MATCH($A73,'Shared parameters'!$B$2:$B$200,0)
      ),
      'Data Entry'!$A$2:$C$200,
      3,
      FALSE
   ),
"")</f>
        <v>URL</v>
      </c>
      <c r="D73" s="21" t="str">
        <f>IFERROR(
   VLOOKUP(
      INDEX('Shared parameters'!$A$2:$A$200,
             MATCH($A73,'Shared parameters'!$B$2:$B$200,0)
      ),
      'Data Entry'!$A$2:$D$200,
      4,
      FALSE
   ),
"")</f>
        <v>—</v>
      </c>
    </row>
    <row r="74" spans="1:4" ht="15" thickBot="1" x14ac:dyDescent="0.35">
      <c r="A74" s="21" t="str">
        <f>INDEX(SharedParams[Name],ROW(B73))</f>
        <v>DPP_SAD_HazardClassification</v>
      </c>
      <c r="B74" s="21" t="str">
        <f>IFERROR(
   VLOOKUP(
      INDEX('Shared parameters'!$A$2:$A$200,
             MATCH($A74,'Shared parameters'!$B$2:$B$200,0)
      ),
      'Data Entry'!$A$2:$B$200,
      2,
      FALSE
   ),
"")</f>
        <v>Not classified as hazardous</v>
      </c>
      <c r="C74" s="21" t="str">
        <f>IFERROR(
   VLOOKUP(
      INDEX('Shared parameters'!$A$2:$A$200,
             MATCH($A74,'Shared parameters'!$B$2:$B$200,0)
      ),
      'Data Entry'!$A$2:$C$200,
      3,
      FALSE
   ),
"")</f>
        <v>—</v>
      </c>
      <c r="D74" s="21" t="str">
        <f>IFERROR(
   VLOOKUP(
      INDEX('Shared parameters'!$A$2:$A$200,
             MATCH($A74,'Shared parameters'!$B$2:$B$200,0)
      ),
      'Data Entry'!$A$2:$D$200,
      4,
      FALSE
   ),
"")</f>
        <v>Category 1- 4</v>
      </c>
    </row>
    <row r="75" spans="1:4" ht="28.2" thickBot="1" x14ac:dyDescent="0.35">
      <c r="A75" s="21" t="str">
        <f>INDEX(SharedParams[Name],ROW(B74))</f>
        <v>DPP_SAD_PM_CTUh</v>
      </c>
      <c r="B75" s="21">
        <f>IFERROR(
   VLOOKUP(
      INDEX('Shared parameters'!$A$2:$A$200,
             MATCH($A75,'Shared parameters'!$B$2:$B$200,0)
      ),
      'Data Entry'!$A$2:$B$200,
      2,
      FALSE
   ),
"")</f>
        <v>2.272E-7</v>
      </c>
      <c r="C75" s="21" t="str">
        <f>IFERROR(
   VLOOKUP(
      INDEX('Shared parameters'!$A$2:$A$200,
             MATCH($A75,'Shared parameters'!$B$2:$B$200,0)
      ),
      'Data Entry'!$A$2:$C$200,
      3,
      FALSE
   ),
"")</f>
        <v>CTUh per block</v>
      </c>
      <c r="D75" s="21" t="str">
        <f>IFERROR(
   VLOOKUP(
      INDEX('Shared parameters'!$A$2:$A$200,
             MATCH($A75,'Shared parameters'!$B$2:$B$200,0)
      ),
      'Data Entry'!$A$2:$D$200,
      4,
      FALSE
   ),
"")</f>
        <v>1.0E-7 - 5.0E-7</v>
      </c>
    </row>
    <row r="76" spans="1:4" ht="28.2" thickBot="1" x14ac:dyDescent="0.35">
      <c r="A76" s="21" t="str">
        <f>INDEX(SharedParams[Name],ROW(B75))</f>
        <v>DPP_SAD_IRP_kBqU235eq</v>
      </c>
      <c r="B76" s="21">
        <f>IFERROR(
   VLOOKUP(
      INDEX('Shared parameters'!$A$2:$A$200,
             MATCH($A76,'Shared parameters'!$B$2:$B$200,0)
      ),
      'Data Entry'!$A$2:$B$200,
      2,
      FALSE
   ),
"")</f>
        <v>1.6239999999999997E-2</v>
      </c>
      <c r="C76" s="21" t="str">
        <f>IFERROR(
   VLOOKUP(
      INDEX('Shared parameters'!$A$2:$A$200,
             MATCH($A76,'Shared parameters'!$B$2:$B$200,0)
      ),
      'Data Entry'!$A$2:$C$200,
      3,
      FALSE
   ),
"")</f>
        <v>kBq U-235 eq per block</v>
      </c>
      <c r="D76" s="21" t="str">
        <f>IFERROR(
   VLOOKUP(
      INDEX('Shared parameters'!$A$2:$A$200,
             MATCH($A76,'Shared parameters'!$B$2:$B$200,0)
      ),
      'Data Entry'!$A$2:$D$200,
      4,
      FALSE
   ),
"")</f>
        <v>0.01 - 0.05</v>
      </c>
    </row>
    <row r="77" spans="1:4" ht="28.2" thickBot="1" x14ac:dyDescent="0.35">
      <c r="A77" s="21" t="str">
        <f>INDEX(SharedParams[Name],ROW(B76))</f>
        <v xml:space="preserve">DPP_SAD_ETPfw_CTUe </v>
      </c>
      <c r="B77" s="21">
        <f>IFERROR(
   VLOOKUP(
      INDEX('Shared parameters'!$A$2:$A$200,
             MATCH($A77,'Shared parameters'!$B$2:$B$200,0)
      ),
      'Data Entry'!$A$2:$B$200,
      2,
      FALSE
   ),
"")</f>
        <v>12.266567999999999</v>
      </c>
      <c r="C77" s="21" t="str">
        <f>IFERROR(
   VLOOKUP(
      INDEX('Shared parameters'!$A$2:$A$200,
             MATCH($A77,'Shared parameters'!$B$2:$B$200,0)
      ),
      'Data Entry'!$A$2:$C$200,
      3,
      FALSE
   ),
"")</f>
        <v>CTUe (Block)</v>
      </c>
      <c r="D77" s="21" t="str">
        <f>IFERROR(
   VLOOKUP(
      INDEX('Shared parameters'!$A$2:$A$200,
             MATCH($A77,'Shared parameters'!$B$2:$B$200,0)
      ),
      'Data Entry'!$A$2:$D$200,
      4,
      FALSE
   ),
"")</f>
        <v>8 - 20</v>
      </c>
    </row>
    <row r="78" spans="1:4" ht="28.2" thickBot="1" x14ac:dyDescent="0.35">
      <c r="A78" s="21" t="str">
        <f>INDEX(SharedParams[Name],ROW(B77))</f>
        <v>DPP_SAD_HRPc_CTUh</v>
      </c>
      <c r="B78" s="21">
        <f>IFERROR(
   VLOOKUP(
      INDEX('Shared parameters'!$A$2:$A$200,
             MATCH($A78,'Shared parameters'!$B$2:$B$200,0)
      ),
      'Data Entry'!$A$2:$B$200,
      2,
      FALSE
   ),
"")</f>
        <v>7.0708479999999998E-10</v>
      </c>
      <c r="C78" s="21" t="str">
        <f>IFERROR(
   VLOOKUP(
      INDEX('Shared parameters'!$A$2:$A$200,
             MATCH($A78,'Shared parameters'!$B$2:$B$200,0)
      ),
      'Data Entry'!$A$2:$C$200,
      3,
      FALSE
   ),
"")</f>
        <v>CTUh (Block)</v>
      </c>
      <c r="D78" s="21" t="str">
        <f>IFERROR(
   VLOOKUP(
      INDEX('Shared parameters'!$A$2:$A$200,
             MATCH($A78,'Shared parameters'!$B$2:$B$200,0)
      ),
      'Data Entry'!$A$2:$D$200,
      4,
      FALSE
   ),
"")</f>
        <v>1.0E-10 - 1.0E-9</v>
      </c>
    </row>
    <row r="79" spans="1:4" ht="28.2" thickBot="1" x14ac:dyDescent="0.35">
      <c r="A79" s="21" t="str">
        <f>INDEX(SharedParams[Name],ROW(B78))</f>
        <v>DPP_SAD_HRPnc_CTUh</v>
      </c>
      <c r="B79" s="21">
        <f>IFERROR(
   VLOOKUP(
      INDEX('Shared parameters'!$A$2:$A$200,
             MATCH($A79,'Shared parameters'!$B$2:$B$200,0)
      ),
      'Data Entry'!$A$2:$B$200,
      2,
      FALSE
   ),
"")</f>
        <v>2.3093359999999999E-8</v>
      </c>
      <c r="C79" s="21" t="str">
        <f>IFERROR(
   VLOOKUP(
      INDEX('Shared parameters'!$A$2:$A$200,
             MATCH($A79,'Shared parameters'!$B$2:$B$200,0)
      ),
      'Data Entry'!$A$2:$C$200,
      3,
      FALSE
   ),
"")</f>
        <v>CTUh (Block)</v>
      </c>
      <c r="D79" s="21" t="str">
        <f>IFERROR(
   VLOOKUP(
      INDEX('Shared parameters'!$A$2:$A$200,
             MATCH($A79,'Shared parameters'!$B$2:$B$200,0)
      ),
      'Data Entry'!$A$2:$D$200,
      4,
      FALSE
   ),
"")</f>
        <v>1.0E-8 - 1.0E-7</v>
      </c>
    </row>
    <row r="80" spans="1:4" ht="15" thickBot="1" x14ac:dyDescent="0.35">
      <c r="A80" s="21" t="str">
        <f>INDEX(SharedParams[Name],ROW(B79))</f>
        <v>DPP_SAD_SQP</v>
      </c>
      <c r="B80" s="21">
        <f>IFERROR(
   VLOOKUP(
      INDEX('Shared parameters'!$A$2:$A$200,
             MATCH($A80,'Shared parameters'!$B$2:$B$200,0)
      ),
      'Data Entry'!$A$2:$B$200,
      2,
      FALSE
   ),
"")</f>
        <v>62.72</v>
      </c>
      <c r="C80" s="21" t="str">
        <f>IFERROR(
   VLOOKUP(
      INDEX('Shared parameters'!$A$2:$A$200,
             MATCH($A80,'Shared parameters'!$B$2:$B$200,0)
      ),
      'Data Entry'!$A$2:$C$200,
      3,
      FALSE
   ),
"")</f>
        <v>—</v>
      </c>
      <c r="D80" s="21" t="str">
        <f>IFERROR(
   VLOOKUP(
      INDEX('Shared parameters'!$A$2:$A$200,
             MATCH($A80,'Shared parameters'!$B$2:$B$200,0)
      ),
      'Data Entry'!$A$2:$D$200,
      4,
      FALSE
   ),
"")</f>
        <v>40 - 90</v>
      </c>
    </row>
    <row r="81" spans="1:4" ht="15" thickBot="1" x14ac:dyDescent="0.35">
      <c r="A81" s="21" t="str">
        <f>INDEX(SharedParams[Name],ROW(B80))</f>
        <v>DPP_SAD_Toxicity</v>
      </c>
      <c r="B81" s="21" t="str">
        <f>IFERROR(
   VLOOKUP(
      INDEX('Shared parameters'!$A$2:$A$200,
             MATCH($A81,'Shared parameters'!$B$2:$B$200,0)
      ),
      'Data Entry'!$A$2:$B$200,
      2,
      FALSE
   ),
"")</f>
        <v>No</v>
      </c>
      <c r="C81" s="21" t="str">
        <f>IFERROR(
   VLOOKUP(
      INDEX('Shared parameters'!$A$2:$A$200,
             MATCH($A81,'Shared parameters'!$B$2:$B$200,0)
      ),
      'Data Entry'!$A$2:$C$200,
      3,
      FALSE
   ),
"")</f>
        <v>—</v>
      </c>
      <c r="D81" s="21" t="str">
        <f>IFERROR(
   VLOOKUP(
      INDEX('Shared parameters'!$A$2:$A$200,
             MATCH($A81,'Shared parameters'!$B$2:$B$200,0)
      ),
      'Data Entry'!$A$2:$D$200,
      4,
      FALSE
   ),
"")</f>
        <v>Yes/No</v>
      </c>
    </row>
    <row r="82" spans="1:4" ht="42" thickBot="1" x14ac:dyDescent="0.35">
      <c r="A82" s="21" t="str">
        <f>INDEX(SharedParams[Name],ROW(B81))</f>
        <v>DPP_SAD_Fire_Class</v>
      </c>
      <c r="B82" s="21" t="str">
        <f>IFERROR(
   VLOOKUP(
      INDEX('Shared parameters'!$A$2:$A$200,
             MATCH($A82,'Shared parameters'!$B$2:$B$200,0)
      ),
      'Data Entry'!$A$2:$B$200,
      2,
      FALSE
   ),
"")</f>
        <v>B (Very limited contribution to fire)</v>
      </c>
      <c r="C82" s="21" t="str">
        <f>IFERROR(
   VLOOKUP(
      INDEX('Shared parameters'!$A$2:$A$200,
             MATCH($A82,'Shared parameters'!$B$2:$B$200,0)
      ),
      'Data Entry'!$A$2:$C$200,
      3,
      FALSE
   ),
"")</f>
        <v>—</v>
      </c>
      <c r="D82" s="21" t="str">
        <f>IFERROR(
   VLOOKUP(
      INDEX('Shared parameters'!$A$2:$A$200,
             MATCH($A82,'Shared parameters'!$B$2:$B$200,0)
      ),
      'Data Entry'!$A$2:$D$200,
      4,
      FALSE
   ),
"")</f>
        <v>A-F (Non combustible to No performance determined)</v>
      </c>
    </row>
    <row r="83" spans="1:4" ht="42" thickBot="1" x14ac:dyDescent="0.35">
      <c r="A83" s="21" t="str">
        <f>INDEX(SharedParams[Name],ROW(B82))</f>
        <v>DPP_SAD_Fire_Ssubclass</v>
      </c>
      <c r="B83" s="21" t="str">
        <f>IFERROR(
   VLOOKUP(
      INDEX('Shared parameters'!$A$2:$A$200,
             MATCH($A83,'Shared parameters'!$B$2:$B$200,0)
      ),
      'Data Entry'!$A$2:$B$200,
      2,
      FALSE
   ),
"")</f>
        <v>s1 (Little or no smoke)</v>
      </c>
      <c r="C83" s="21" t="str">
        <f>IFERROR(
   VLOOKUP(
      INDEX('Shared parameters'!$A$2:$A$200,
             MATCH($A83,'Shared parameters'!$B$2:$B$200,0)
      ),
      'Data Entry'!$A$2:$C$200,
      3,
      FALSE
   ),
"")</f>
        <v>—</v>
      </c>
      <c r="D83" s="21" t="str">
        <f>IFERROR(
   VLOOKUP(
      INDEX('Shared parameters'!$A$2:$A$200,
             MATCH($A83,'Shared parameters'!$B$2:$B$200,0)
      ),
      'Data Entry'!$A$2:$D$200,
      4,
      FALSE
   ),
"")</f>
        <v>s1-s3 (Little or no smoke to Hight smoke prodcution)</v>
      </c>
    </row>
    <row r="84" spans="1:4" ht="42" thickBot="1" x14ac:dyDescent="0.35">
      <c r="A84" s="21" t="str">
        <f>INDEX(SharedParams[Name],ROW(B83))</f>
        <v>DPP_SAD_Fire_Dsubclass</v>
      </c>
      <c r="B84" s="21" t="str">
        <f>IFERROR(
   VLOOKUP(
      INDEX('Shared parameters'!$A$2:$A$200,
             MATCH($A84,'Shared parameters'!$B$2:$B$200,0)
      ),
      'Data Entry'!$A$2:$B$200,
      2,
      FALSE
   ),
"")</f>
        <v>d0 (No flaming droplets or particles)</v>
      </c>
      <c r="C84" s="21" t="str">
        <f>IFERROR(
   VLOOKUP(
      INDEX('Shared parameters'!$A$2:$A$200,
             MATCH($A84,'Shared parameters'!$B$2:$B$200,0)
      ),
      'Data Entry'!$A$2:$C$200,
      3,
      FALSE
   ),
"")</f>
        <v>—</v>
      </c>
      <c r="D84" s="21" t="str">
        <f>IFERROR(
   VLOOKUP(
      INDEX('Shared parameters'!$A$2:$A$200,
             MATCH($A84,'Shared parameters'!$B$2:$B$200,0)
      ),
      'Data Entry'!$A$2:$D$200,
      4,
      FALSE
   ),
"")</f>
        <v>d0-d2 (No to significante flaming droplets or particles)</v>
      </c>
    </row>
    <row r="85" spans="1:4" ht="55.8" thickBot="1" x14ac:dyDescent="0.35">
      <c r="A85" s="21" t="str">
        <f>INDEX(SharedParams[Name],ROW(B84))</f>
        <v>DPP_SAD_FireResistance</v>
      </c>
      <c r="B85" s="21" t="str">
        <f>IFERROR(
   VLOOKUP(
      INDEX('Shared parameters'!$A$2:$A$200,
             MATCH($A85,'Shared parameters'!$B$2:$B$200,0)
      ),
      'Data Entry'!$A$2:$B$200,
      2,
      FALSE
   ),
"")</f>
        <v>B-s1; d0</v>
      </c>
      <c r="C85" s="21" t="str">
        <f>IFERROR(
   VLOOKUP(
      INDEX('Shared parameters'!$A$2:$A$200,
             MATCH($A85,'Shared parameters'!$B$2:$B$200,0)
      ),
      'Data Entry'!$A$2:$C$200,
      3,
      FALSE
   ),
"")</f>
        <v>—</v>
      </c>
      <c r="D85" s="21" t="str">
        <f>IFERROR(
   VLOOKUP(
      INDEX('Shared parameters'!$A$2:$A$200,
             MATCH($A85,'Shared parameters'!$B$2:$B$200,0)
      ),
      'Data Entry'!$A$2:$D$200,
      4,
      FALSE
   ),
"")</f>
        <v>A1;A2-s1,d0;A2-s3,d2;B-s1,d0;B-s3,d2;C-s1,d0;C-s3,d2;D-s1,d0;D-s3,d2;E-d2;F</v>
      </c>
    </row>
    <row r="86" spans="1:4" ht="15" thickBot="1" x14ac:dyDescent="0.35">
      <c r="A86" s="21" t="str">
        <f>INDEX(SharedParams[Name],ROW(B85))</f>
        <v>DPP_SAD_Coatings</v>
      </c>
      <c r="B86" s="21" t="str">
        <f>IFERROR(
   VLOOKUP(
      INDEX('Shared parameters'!$A$2:$A$200,
             MATCH($A86,'Shared parameters'!$B$2:$B$200,0)
      ),
      'Data Entry'!$A$2:$B$200,
      2,
      FALSE
   ),
"")</f>
        <v>Yes</v>
      </c>
      <c r="C86" s="21" t="str">
        <f>IFERROR(
   VLOOKUP(
      INDEX('Shared parameters'!$A$2:$A$200,
             MATCH($A86,'Shared parameters'!$B$2:$B$200,0)
      ),
      'Data Entry'!$A$2:$C$200,
      3,
      FALSE
   ),
"")</f>
        <v>—</v>
      </c>
      <c r="D86" s="21" t="str">
        <f>IFERROR(
   VLOOKUP(
      INDEX('Shared parameters'!$A$2:$A$200,
             MATCH($A86,'Shared parameters'!$B$2:$B$200,0)
      ),
      'Data Entry'!$A$2:$D$200,
      4,
      FALSE
   ),
"")</f>
        <v>Yes/No</v>
      </c>
    </row>
    <row r="87" spans="1:4" ht="42" thickBot="1" x14ac:dyDescent="0.35">
      <c r="A87" s="21" t="str">
        <f>INDEX(SharedParams[Name],ROW(B86))</f>
        <v>DPP_SAD_CoatingType</v>
      </c>
      <c r="B87" s="21" t="str">
        <f>IFERROR(
   VLOOKUP(
      INDEX('Shared parameters'!$A$2:$A$200,
             MATCH($A87,'Shared parameters'!$B$2:$B$200,0)
      ),
      'Data Entry'!$A$2:$B$200,
      2,
      FALSE
   ),
"")</f>
        <v>breathable, vapor-permeable coatings, including lime-based plaster and natural mineral paints</v>
      </c>
      <c r="C87" s="21" t="str">
        <f>IFERROR(
   VLOOKUP(
      INDEX('Shared parameters'!$A$2:$A$200,
             MATCH($A87,'Shared parameters'!$B$2:$B$200,0)
      ),
      'Data Entry'!$A$2:$C$200,
      3,
      FALSE
   ),
"")</f>
        <v>—</v>
      </c>
      <c r="D87" s="21" t="str">
        <f>IFERROR(
   VLOOKUP(
      INDEX('Shared parameters'!$A$2:$A$200,
             MATCH($A87,'Shared parameters'!$B$2:$B$200,0)
      ),
      'Data Entry'!$A$2:$D$200,
      4,
      FALSE
   ),
"")</f>
        <v>lime, clay, silicate, and occasionally bio-based mineral coatings</v>
      </c>
    </row>
    <row r="88" spans="1:4" ht="15" thickBot="1" x14ac:dyDescent="0.35">
      <c r="A88" s="21" t="str">
        <f>INDEX(SharedParams[Name],ROW(B87))</f>
        <v>DPP_SAD_PPERequirements</v>
      </c>
      <c r="B88" s="21">
        <f>IFERROR(
   VLOOKUP(
      INDEX('Shared parameters'!$A$2:$A$200,
             MATCH($A88,'Shared parameters'!$B$2:$B$200,0)
      ),
      'Data Entry'!$A$2:$B$200,
      2,
      FALSE
   ),
"")</f>
        <v>0</v>
      </c>
      <c r="C88" s="21">
        <f>IFERROR(
   VLOOKUP(
      INDEX('Shared parameters'!$A$2:$A$200,
             MATCH($A88,'Shared parameters'!$B$2:$B$200,0)
      ),
      'Data Entry'!$A$2:$C$200,
      3,
      FALSE
   ),
"")</f>
        <v>0</v>
      </c>
      <c r="D88" s="21">
        <f>IFERROR(
   VLOOKUP(
      INDEX('Shared parameters'!$A$2:$A$200,
             MATCH($A88,'Shared parameters'!$B$2:$B$200,0)
      ),
      'Data Entry'!$A$2:$D$200,
      4,
      FALSE
   ),
"")</f>
        <v>0</v>
      </c>
    </row>
    <row r="89" spans="1:4" ht="15" thickBot="1" x14ac:dyDescent="0.35">
      <c r="A89" s="21" t="str">
        <f>INDEX(SharedParams[Name],ROW(B88))</f>
        <v>DPP_SAD_Compliance</v>
      </c>
      <c r="B89" s="21" t="str">
        <f>IFERROR(
   VLOOKUP(
      INDEX('Shared parameters'!$A$2:$A$200,
             MATCH($A89,'Shared parameters'!$B$2:$B$200,0)
      ),
      'Data Entry'!$A$2:$B$200,
      2,
      FALSE
   ),
"")</f>
        <v>Yes</v>
      </c>
      <c r="C89" s="21" t="str">
        <f>IFERROR(
   VLOOKUP(
      INDEX('Shared parameters'!$A$2:$A$200,
             MATCH($A89,'Shared parameters'!$B$2:$B$200,0)
      ),
      'Data Entry'!$A$2:$C$200,
      3,
      FALSE
   ),
"")</f>
        <v>—</v>
      </c>
      <c r="D89" s="21" t="str">
        <f>IFERROR(
   VLOOKUP(
      INDEX('Shared parameters'!$A$2:$A$200,
             MATCH($A89,'Shared parameters'!$B$2:$B$200,0)
      ),
      'Data Entry'!$A$2:$D$200,
      4,
      FALSE
   ),
"")</f>
        <v>Yes/No</v>
      </c>
    </row>
    <row r="90" spans="1:4" ht="15" thickBot="1" x14ac:dyDescent="0.35">
      <c r="A90" s="21" t="str">
        <f>INDEX(SharedParams[Name],ROW(B89))</f>
        <v>DPP_ASD_SAC</v>
      </c>
      <c r="B90" s="21">
        <f>IFERROR(
   VLOOKUP(
      INDEX('Shared parameters'!$A$2:$A$200,
             MATCH($A90,'Shared parameters'!$B$2:$B$200,0)
      ),
      'Data Entry'!$A$2:$B$200,
      2,
      FALSE
   ),
"")</f>
        <v>0.8</v>
      </c>
      <c r="C90" s="21" t="str">
        <f>IFERROR(
   VLOOKUP(
      INDEX('Shared parameters'!$A$2:$A$200,
             MATCH($A90,'Shared parameters'!$B$2:$B$200,0)
      ),
      'Data Entry'!$A$2:$C$200,
      3,
      FALSE
   ),
"")</f>
        <v>Score</v>
      </c>
      <c r="D90" s="21" t="str">
        <f>IFERROR(
   VLOOKUP(
      INDEX('Shared parameters'!$A$2:$A$200,
             MATCH($A90,'Shared parameters'!$B$2:$B$200,0)
      ),
      'Data Entry'!$A$2:$D$200,
      4,
      FALSE
   ),
"")</f>
        <v>0.0 - 1.0</v>
      </c>
    </row>
    <row r="91" spans="1:4" ht="15" thickBot="1" x14ac:dyDescent="0.35">
      <c r="A91" s="21" t="str">
        <f>INDEX(SharedParams[Name],ROW(B90))</f>
        <v>DPP_ASD_SAI_db</v>
      </c>
      <c r="B91" s="21" t="str">
        <f>IFERROR(
   VLOOKUP(
      INDEX('Shared parameters'!$A$2:$A$200,
             MATCH($A91,'Shared parameters'!$B$2:$B$200,0)
      ),
      'Data Entry'!$A$2:$B$200,
      2,
      FALSE
   ),
"")</f>
        <v>&gt;-41</v>
      </c>
      <c r="C91" s="21" t="str">
        <f>IFERROR(
   VLOOKUP(
      INDEX('Shared parameters'!$A$2:$A$200,
             MATCH($A91,'Shared parameters'!$B$2:$B$200,0)
      ),
      'Data Entry'!$A$2:$C$200,
      3,
      FALSE
   ),
"")</f>
        <v>db</v>
      </c>
      <c r="D91" s="21">
        <f>IFERROR(
   VLOOKUP(
      INDEX('Shared parameters'!$A$2:$A$200,
             MATCH($A91,'Shared parameters'!$B$2:$B$200,0)
      ),
      'Data Entry'!$A$2:$D$200,
      4,
      FALSE
   ),
"")</f>
        <v>0</v>
      </c>
    </row>
    <row r="92" spans="1:4" ht="28.2" thickBot="1" x14ac:dyDescent="0.35">
      <c r="A92" s="21" t="str">
        <f>INDEX(SharedParams[Name],ROW(B91))</f>
        <v>DPP_ASD_Color</v>
      </c>
      <c r="B92" s="21" t="str">
        <f>IFERROR(
   VLOOKUP(
      INDEX('Shared parameters'!$A$2:$A$200,
             MATCH($A92,'Shared parameters'!$B$2:$B$200,0)
      ),
      'Data Entry'!$A$2:$B$200,
      2,
      FALSE
   ),
"")</f>
        <v>Natural Beige #D8C9A6</v>
      </c>
      <c r="C92" s="21" t="str">
        <f>IFERROR(
   VLOOKUP(
      INDEX('Shared parameters'!$A$2:$A$200,
             MATCH($A92,'Shared parameters'!$B$2:$B$200,0)
      ),
      'Data Entry'!$A$2:$C$200,
      3,
      FALSE
   ),
"")</f>
        <v>—</v>
      </c>
      <c r="D92" s="21" t="str">
        <f>IFERROR(
   VLOOKUP(
      INDEX('Shared parameters'!$A$2:$A$200,
             MATCH($A92,'Shared parameters'!$B$2:$B$200,0)
      ),
      'Data Entry'!$A$2:$D$200,
      4,
      FALSE
   ),
"")</f>
        <v>Light beige; Pale grey; Soft brown</v>
      </c>
    </row>
    <row r="93" spans="1:4" ht="28.2" thickBot="1" x14ac:dyDescent="0.35">
      <c r="A93" s="21" t="str">
        <f>INDEX(SharedParams[Name],ROW(B92))</f>
        <v>DPP_ASD_Odor</v>
      </c>
      <c r="B93" s="21" t="str">
        <f>IFERROR(
   VLOOKUP(
      INDEX('Shared parameters'!$A$2:$A$200,
             MATCH($A93,'Shared parameters'!$B$2:$B$200,0)
      ),
      'Data Entry'!$A$2:$B$200,
      2,
      FALSE
   ),
"")</f>
        <v>Mild, earthy, lime-fresh scent</v>
      </c>
      <c r="C93" s="21" t="str">
        <f>IFERROR(
   VLOOKUP(
      INDEX('Shared parameters'!$A$2:$A$200,
             MATCH($A93,'Shared parameters'!$B$2:$B$200,0)
      ),
      'Data Entry'!$A$2:$C$200,
      3,
      FALSE
   ),
"")</f>
        <v>—</v>
      </c>
      <c r="D93" s="21" t="str">
        <f>IFERROR(
   VLOOKUP(
      INDEX('Shared parameters'!$A$2:$A$200,
             MATCH($A93,'Shared parameters'!$B$2:$B$200,0)
      ),
      'Data Entry'!$A$2:$D$200,
      4,
      FALSE
   ),
"")</f>
        <v>Neutral; Mild earthy; Strong organic</v>
      </c>
    </row>
    <row r="94" spans="1:4" ht="28.2" thickBot="1" x14ac:dyDescent="0.35">
      <c r="A94" s="21" t="str">
        <f>INDEX(SharedParams[Name],ROW(B93))</f>
        <v>DPP_ASD_Texture</v>
      </c>
      <c r="B94" s="21" t="str">
        <f>IFERROR(
   VLOOKUP(
      INDEX('Shared parameters'!$A$2:$A$200,
             MATCH($A94,'Shared parameters'!$B$2:$B$200,0)
      ),
      'Data Entry'!$A$2:$B$200,
      2,
      FALSE
   ),
"")</f>
        <v>Porous, fibrous, and dry to the touch</v>
      </c>
      <c r="C94" s="21" t="str">
        <f>IFERROR(
   VLOOKUP(
      INDEX('Shared parameters'!$A$2:$A$200,
             MATCH($A94,'Shared parameters'!$B$2:$B$200,0)
      ),
      'Data Entry'!$A$2:$C$200,
      3,
      FALSE
   ),
"")</f>
        <v>—</v>
      </c>
      <c r="D94" s="21" t="str">
        <f>IFERROR(
   VLOOKUP(
      INDEX('Shared parameters'!$A$2:$A$200,
             MATCH($A94,'Shared parameters'!$B$2:$B$200,0)
      ),
      'Data Entry'!$A$2:$D$200,
      4,
      FALSE
   ),
"")</f>
        <v>Smooth; Slightly rough; Coarse fibrous</v>
      </c>
    </row>
    <row r="95" spans="1:4" ht="28.2" thickBot="1" x14ac:dyDescent="0.35">
      <c r="A95" s="21" t="str">
        <f>INDEX(SharedParams[Name],ROW(B94))</f>
        <v>DPP_ASD_Temp</v>
      </c>
      <c r="B95" s="21" t="str">
        <f>IFERROR(
   VLOOKUP(
      INDEX('Shared parameters'!$A$2:$A$200,
             MATCH($A95,'Shared parameters'!$B$2:$B$200,0)
      ),
      'Data Entry'!$A$2:$B$200,
      2,
      FALSE
   ),
"")</f>
        <v>Feels thermally neutral or slightly warm</v>
      </c>
      <c r="C95" s="21" t="str">
        <f>IFERROR(
   VLOOKUP(
      INDEX('Shared parameters'!$A$2:$A$200,
             MATCH($A95,'Shared parameters'!$B$2:$B$200,0)
      ),
      'Data Entry'!$A$2:$C$200,
      3,
      FALSE
   ),
"")</f>
        <v>—</v>
      </c>
      <c r="D95" s="21" t="str">
        <f>IFERROR(
   VLOOKUP(
      INDEX('Shared parameters'!$A$2:$A$200,
             MATCH($A95,'Shared parameters'!$B$2:$B$200,0)
      ),
      'Data Entry'!$A$2:$D$200,
      4,
      FALSE
   ),
"")</f>
        <v>Cold; Neutral; Warm</v>
      </c>
    </row>
    <row r="96" spans="1:4" ht="28.2" thickBot="1" x14ac:dyDescent="0.35">
      <c r="A96" s="21" t="str">
        <f>INDEX(SharedParams[Name],ROW(B95))</f>
        <v>DPP_ASD_ClimateSuitability</v>
      </c>
      <c r="B96" s="21" t="str">
        <f>IFERROR(
   VLOOKUP(
      INDEX('Shared parameters'!$A$2:$A$200,
             MATCH($A96,'Shared parameters'!$B$2:$B$200,0)
      ),
      'Data Entry'!$A$2:$B$200,
      2,
      FALSE
   ),
"")</f>
        <v>Varied</v>
      </c>
      <c r="C96" s="21" t="str">
        <f>IFERROR(
   VLOOKUP(
      INDEX('Shared parameters'!$A$2:$A$200,
             MATCH($A96,'Shared parameters'!$B$2:$B$200,0)
      ),
      'Data Entry'!$A$2:$C$200,
      3,
      FALSE
   ),
"")</f>
        <v>—</v>
      </c>
      <c r="D96" s="21" t="str">
        <f>IFERROR(
   VLOOKUP(
      INDEX('Shared parameters'!$A$2:$A$200,
             MATCH($A96,'Shared parameters'!$B$2:$B$200,0)
      ),
      'Data Entry'!$A$2:$D$200,
      4,
      FALSE
   ),
"")</f>
        <v>Climate specific - Climate adaptable</v>
      </c>
    </row>
    <row r="97" spans="1:4" ht="28.2" thickBot="1" x14ac:dyDescent="0.35">
      <c r="A97" s="21" t="str">
        <f>INDEX(SharedParams[Name],ROW(B96))</f>
        <v>DPP_ASD_AgriculturalValue</v>
      </c>
      <c r="B97" s="21" t="str">
        <f>IFERROR(
   VLOOKUP(
      INDEX('Shared parameters'!$A$2:$A$200,
             MATCH($A97,'Shared parameters'!$B$2:$B$200,0)
      ),
      'Data Entry'!$A$2:$B$200,
      2,
      FALSE
   ),
"")</f>
        <v>High</v>
      </c>
      <c r="C97" s="21" t="str">
        <f>IFERROR(
   VLOOKUP(
      INDEX('Shared parameters'!$A$2:$A$200,
             MATCH($A97,'Shared parameters'!$B$2:$B$200,0)
      ),
      'Data Entry'!$A$2:$C$200,
      3,
      FALSE
   ),
"")</f>
        <v>—</v>
      </c>
      <c r="D97" s="21" t="str">
        <f>IFERROR(
   VLOOKUP(
      INDEX('Shared parameters'!$A$2:$A$200,
             MATCH($A97,'Shared parameters'!$B$2:$B$200,0)
      ),
      'Data Entry'!$A$2:$D$200,
      4,
      FALSE
   ),
"")</f>
        <v>Low value crop - High value crop</v>
      </c>
    </row>
    <row r="98" spans="1:4" ht="15" thickBot="1" x14ac:dyDescent="0.35">
      <c r="A98" s="21" t="str">
        <f>INDEX(SharedParams[Name],ROW(B97))</f>
        <v>DPP_ASD_ResourseAvailability</v>
      </c>
      <c r="B98" s="21" t="str">
        <f>IFERROR(
   VLOOKUP(
      INDEX('Shared parameters'!$A$2:$A$200,
             MATCH($A98,'Shared parameters'!$B$2:$B$200,0)
      ),
      'Data Entry'!$A$2:$B$200,
      2,
      FALSE
   ),
"")</f>
        <v>Regional</v>
      </c>
      <c r="C98" s="21" t="str">
        <f>IFERROR(
   VLOOKUP(
      INDEX('Shared parameters'!$A$2:$A$200,
             MATCH($A98,'Shared parameters'!$B$2:$B$200,0)
      ),
      'Data Entry'!$A$2:$C$200,
      3,
      FALSE
   ),
"")</f>
        <v>—</v>
      </c>
      <c r="D98" s="21" t="str">
        <f>IFERROR(
   VLOOKUP(
      INDEX('Shared parameters'!$A$2:$A$200,
             MATCH($A98,'Shared parameters'!$B$2:$B$200,0)
      ),
      'Data Entry'!$A$2:$D$200,
      4,
      FALSE
   ),
"")</f>
        <v>Scarce - Global</v>
      </c>
    </row>
    <row r="99" spans="1:4" ht="15" thickBot="1" x14ac:dyDescent="0.35">
      <c r="A99" s="21" t="str">
        <f>INDEX(SharedParams[Name],ROW(B98))</f>
        <v>DPP_ASD_Aging</v>
      </c>
      <c r="B99" s="21">
        <f>IFERROR(
   VLOOKUP(
      INDEX('Shared parameters'!$A$2:$A$200,
             MATCH($A99,'Shared parameters'!$B$2:$B$200,0)
      ),
      'Data Entry'!$A$2:$B$200,
      2,
      FALSE
   ),
"")</f>
        <v>4</v>
      </c>
      <c r="C99" s="21" t="str">
        <f>IFERROR(
   VLOOKUP(
      INDEX('Shared parameters'!$A$2:$A$200,
             MATCH($A99,'Shared parameters'!$B$2:$B$200,0)
      ),
      'Data Entry'!$A$2:$C$200,
      3,
      FALSE
   ),
"")</f>
        <v>Score</v>
      </c>
      <c r="D99" s="21" t="str">
        <f>IFERROR(
   VLOOKUP(
      INDEX('Shared parameters'!$A$2:$A$200,
             MATCH($A99,'Shared parameters'!$B$2:$B$200,0)
      ),
      'Data Entry'!$A$2:$D$200,
      4,
      FALSE
   ),
"")</f>
        <v>1.0 - 5.0</v>
      </c>
    </row>
    <row r="100" spans="1:4" ht="15" thickBot="1" x14ac:dyDescent="0.35">
      <c r="A100" s="21" t="str">
        <f>INDEX(SharedParams[Name],ROW(B99))</f>
        <v>DPP_ASD_Architectural</v>
      </c>
      <c r="B100" s="21">
        <f>IFERROR(
   VLOOKUP(
      INDEX('Shared parameters'!$A$2:$A$200,
             MATCH($A100,'Shared parameters'!$B$2:$B$200,0)
      ),
      'Data Entry'!$A$2:$B$200,
      2,
      FALSE
   ),
"")</f>
        <v>4</v>
      </c>
      <c r="C100" s="21" t="str">
        <f>IFERROR(
   VLOOKUP(
      INDEX('Shared parameters'!$A$2:$A$200,
             MATCH($A100,'Shared parameters'!$B$2:$B$200,0)
      ),
      'Data Entry'!$A$2:$C$200,
      3,
      FALSE
   ),
"")</f>
        <v>Score</v>
      </c>
      <c r="D100" s="21" t="str">
        <f>IFERROR(
   VLOOKUP(
      INDEX('Shared parameters'!$A$2:$A$200,
             MATCH($A100,'Shared parameters'!$B$2:$B$200,0)
      ),
      'Data Entry'!$A$2:$D$200,
      4,
      FALSE
   ),
"")</f>
        <v>1.0 - 5.0</v>
      </c>
    </row>
    <row r="101" spans="1:4" ht="15" thickBot="1" x14ac:dyDescent="0.35">
      <c r="A101" s="21" t="str">
        <f>INDEX(SharedParams[Name],ROW(B100))</f>
        <v>DPP_ASD_Aesthetic</v>
      </c>
      <c r="B101" s="21">
        <f>IFERROR(
   VLOOKUP(
      INDEX('Shared parameters'!$A$2:$A$200,
             MATCH($A101,'Shared parameters'!$B$2:$B$200,0)
      ),
      'Data Entry'!$A$2:$B$200,
      2,
      FALSE
   ),
"")</f>
        <v>5</v>
      </c>
      <c r="C101" s="21" t="str">
        <f>IFERROR(
   VLOOKUP(
      INDEX('Shared parameters'!$A$2:$A$200,
             MATCH($A101,'Shared parameters'!$B$2:$B$200,0)
      ),
      'Data Entry'!$A$2:$C$200,
      3,
      FALSE
   ),
"")</f>
        <v>Score</v>
      </c>
      <c r="D101" s="21" t="str">
        <f>IFERROR(
   VLOOKUP(
      INDEX('Shared parameters'!$A$2:$A$200,
             MATCH($A101,'Shared parameters'!$B$2:$B$200,0)
      ),
      'Data Entry'!$A$2:$D$200,
      4,
      FALSE
   ),
"")</f>
        <v>1.0 - 5.0</v>
      </c>
    </row>
    <row r="102" spans="1:4" ht="42" thickBot="1" x14ac:dyDescent="0.35">
      <c r="A102" s="21" t="str">
        <f>INDEX(SharedParams[Name],ROW(B101))</f>
        <v>DPP_ASD_ComfortThermal</v>
      </c>
      <c r="B102" s="21" t="str">
        <f>IFERROR(
   VLOOKUP(
      INDEX('Shared parameters'!$A$2:$A$200,
             MATCH($A102,'Shared parameters'!$B$2:$B$200,0)
      ),
      'Data Entry'!$A$2:$B$200,
      2,
      FALSE
   ),
"")</f>
        <v>Provides insulation, stabilizes indoor temperature, reduces overheating and heat loss.</v>
      </c>
      <c r="C102" s="21" t="str">
        <f>IFERROR(
   VLOOKUP(
      INDEX('Shared parameters'!$A$2:$A$200,
             MATCH($A102,'Shared parameters'!$B$2:$B$200,0)
      ),
      'Data Entry'!$A$2:$C$200,
      3,
      FALSE
   ),
"")</f>
        <v>—</v>
      </c>
      <c r="D102" s="21" t="str">
        <f>IFERROR(
   VLOOKUP(
      INDEX('Shared parameters'!$A$2:$A$200,
             MATCH($A102,'Shared parameters'!$B$2:$B$200,0)
      ),
      'Data Entry'!$A$2:$D$200,
      4,
      FALSE
   ),
"")</f>
        <v xml:space="preserve">Very poor to Excellent </v>
      </c>
    </row>
    <row r="103" spans="1:4" ht="42" thickBot="1" x14ac:dyDescent="0.35">
      <c r="A103" s="21" t="str">
        <f>INDEX(SharedParams[Name],ROW(B102))</f>
        <v>DPP_ASD_ComfortHygrothermal</v>
      </c>
      <c r="B103" s="21" t="str">
        <f>IFERROR(
   VLOOKUP(
      INDEX('Shared parameters'!$A$2:$A$200,
             MATCH($A103,'Shared parameters'!$B$2:$B$200,0)
      ),
      'Data Entry'!$A$2:$B$200,
      2,
      FALSE
   ),
"")</f>
        <v>Regulates indoor humidity, doees not prevent condensation and mold, enhances air quality.</v>
      </c>
      <c r="C103" s="21" t="str">
        <f>IFERROR(
   VLOOKUP(
      INDEX('Shared parameters'!$A$2:$A$200,
             MATCH($A103,'Shared parameters'!$B$2:$B$200,0)
      ),
      'Data Entry'!$A$2:$C$200,
      3,
      FALSE
   ),
"")</f>
        <v>—</v>
      </c>
      <c r="D103" s="21" t="str">
        <f>IFERROR(
   VLOOKUP(
      INDEX('Shared parameters'!$A$2:$A$200,
             MATCH($A103,'Shared parameters'!$B$2:$B$200,0)
      ),
      'Data Entry'!$A$2:$D$200,
      4,
      FALSE
   ),
"")</f>
        <v xml:space="preserve">Very poor to Excellent </v>
      </c>
    </row>
    <row r="104" spans="1:4" ht="42" thickBot="1" x14ac:dyDescent="0.35">
      <c r="A104" s="21" t="str">
        <f>INDEX(SharedParams[Name],ROW(B103))</f>
        <v>DPP_ASD_ComfortAcoustic</v>
      </c>
      <c r="B104" s="21" t="str">
        <f>IFERROR(
   VLOOKUP(
      INDEX('Shared parameters'!$A$2:$A$200,
             MATCH($A104,'Shared parameters'!$B$2:$B$200,0)
      ),
      'Data Entry'!$A$2:$B$200,
      2,
      FALSE
   ),
"")</f>
        <v>Good sound absorption due to porous structure, reduces noise transmission and reverberation.</v>
      </c>
      <c r="C104" s="21" t="str">
        <f>IFERROR(
   VLOOKUP(
      INDEX('Shared parameters'!$A$2:$A$200,
             MATCH($A104,'Shared parameters'!$B$2:$B$200,0)
      ),
      'Data Entry'!$A$2:$C$200,
      3,
      FALSE
   ),
"")</f>
        <v>—</v>
      </c>
      <c r="D104" s="21" t="str">
        <f>IFERROR(
   VLOOKUP(
      INDEX('Shared parameters'!$A$2:$A$200,
             MATCH($A104,'Shared parameters'!$B$2:$B$200,0)
      ),
      'Data Entry'!$A$2:$D$200,
      4,
      FALSE
   ),
"")</f>
        <v xml:space="preserve">Very poor to Excellent </v>
      </c>
    </row>
    <row r="105" spans="1:4" ht="55.8" thickBot="1" x14ac:dyDescent="0.35">
      <c r="A105" s="21" t="str">
        <f>INDEX(SharedParams[Name],ROW(B104))</f>
        <v>DPP_ASD_ComfortMaterial</v>
      </c>
      <c r="B105" s="21" t="str">
        <f>IFERROR(
   VLOOKUP(
      INDEX('Shared parameters'!$A$2:$A$200,
             MATCH($A105,'Shared parameters'!$B$2:$B$200,0)
      ),
      'Data Entry'!$A$2:$B$200,
      2,
      FALSE
   ),
"")</f>
        <v>Non-toxic, breathable, natural aesthetics, supports psychological well-being.</v>
      </c>
      <c r="C105" s="21" t="str">
        <f>IFERROR(
   VLOOKUP(
      INDEX('Shared parameters'!$A$2:$A$200,
             MATCH($A105,'Shared parameters'!$B$2:$B$200,0)
      ),
      'Data Entry'!$A$2:$C$200,
      3,
      FALSE
   ),
"")</f>
        <v>—</v>
      </c>
      <c r="D105" s="21" t="str">
        <f>IFERROR(
   VLOOKUP(
      INDEX('Shared parameters'!$A$2:$A$200,
             MATCH($A105,'Shared parameters'!$B$2:$B$200,0)
      ),
      'Data Entry'!$A$2:$D$200,
      4,
      FALSE
   ),
"")</f>
        <v xml:space="preserve">Very poor to Excellent </v>
      </c>
    </row>
    <row r="106" spans="1:4" ht="15" thickBot="1" x14ac:dyDescent="0.35">
      <c r="A106" s="21" t="str">
        <f>INDEX(SharedParams[Name],ROW(B105))</f>
        <v>DPP_ASD_Craft</v>
      </c>
      <c r="B106" s="21">
        <f>IFERROR(
   VLOOKUP(
      INDEX('Shared parameters'!$A$2:$A$200,
             MATCH($A106,'Shared parameters'!$B$2:$B$200,0)
      ),
      'Data Entry'!$A$2:$B$200,
      2,
      FALSE
   ),
"")</f>
        <v>2</v>
      </c>
      <c r="C106" s="21" t="str">
        <f>IFERROR(
   VLOOKUP(
      INDEX('Shared parameters'!$A$2:$A$200,
             MATCH($A106,'Shared parameters'!$B$2:$B$200,0)
      ),
      'Data Entry'!$A$2:$C$200,
      3,
      FALSE
   ),
"")</f>
        <v>Score</v>
      </c>
      <c r="D106" s="21" t="str">
        <f>IFERROR(
   VLOOKUP(
      INDEX('Shared parameters'!$A$2:$A$200,
             MATCH($A106,'Shared parameters'!$B$2:$B$200,0)
      ),
      'Data Entry'!$A$2:$D$200,
      4,
      FALSE
   ),
"")</f>
        <v>1.0 - 5.0</v>
      </c>
    </row>
    <row r="107" spans="1:4" ht="15" thickBot="1" x14ac:dyDescent="0.35">
      <c r="A107" s="21" t="str">
        <f>INDEX(SharedParams[Name],ROW(B106))</f>
        <v>DPP_ASD_Symbolism</v>
      </c>
      <c r="B107" s="21">
        <f>IFERROR(
   VLOOKUP(
      INDEX('Shared parameters'!$A$2:$A$200,
             MATCH($A107,'Shared parameters'!$B$2:$B$200,0)
      ),
      'Data Entry'!$A$2:$B$200,
      2,
      FALSE
   ),
"")</f>
        <v>4</v>
      </c>
      <c r="C107" s="21" t="str">
        <f>IFERROR(
   VLOOKUP(
      INDEX('Shared parameters'!$A$2:$A$200,
             MATCH($A107,'Shared parameters'!$B$2:$B$200,0)
      ),
      'Data Entry'!$A$2:$C$200,
      3,
      FALSE
   ),
"")</f>
        <v>Score</v>
      </c>
      <c r="D107" s="21" t="str">
        <f>IFERROR(
   VLOOKUP(
      INDEX('Shared parameters'!$A$2:$A$200,
             MATCH($A107,'Shared parameters'!$B$2:$B$200,0)
      ),
      'Data Entry'!$A$2:$D$200,
      4,
      FALSE
   ),
"")</f>
        <v>1.0 - 5.0</v>
      </c>
    </row>
    <row r="108" spans="1:4" ht="15" thickBot="1" x14ac:dyDescent="0.35">
      <c r="A108" s="21" t="str">
        <f>INDEX(SharedParams[Name],ROW(B107))</f>
        <v>DPP_COD_UnitCost_EUR</v>
      </c>
      <c r="B108" s="21">
        <f>IFERROR(
   VLOOKUP(
      INDEX('Shared parameters'!$A$2:$A$200,
             MATCH($A108,'Shared parameters'!$B$2:$B$200,0)
      ),
      'Data Entry'!$A$2:$B$200,
      2,
      FALSE
   ),
"")</f>
        <v>3.8</v>
      </c>
      <c r="C108" s="21" t="str">
        <f>IFERROR(
   VLOOKUP(
      INDEX('Shared parameters'!$A$2:$A$200,
             MATCH($A108,'Shared parameters'!$B$2:$B$200,0)
      ),
      'Data Entry'!$A$2:$C$200,
      3,
      FALSE
   ),
"")</f>
        <v>€/Unit</v>
      </c>
      <c r="D108" s="21" t="str">
        <f>IFERROR(
   VLOOKUP(
      INDEX('Shared parameters'!$A$2:$A$200,
             MATCH($A108,'Shared parameters'!$B$2:$B$200,0)
      ),
      'Data Entry'!$A$2:$D$200,
      4,
      FALSE
   ),
"")</f>
        <v>0.80-15.50</v>
      </c>
    </row>
    <row r="109" spans="1:4" ht="15" thickBot="1" x14ac:dyDescent="0.35">
      <c r="A109" s="21" t="str">
        <f>INDEX(SharedParams[Name],ROW(B108))</f>
        <v>DPP_COD_Assembly_EUR</v>
      </c>
      <c r="B109" s="21">
        <f>IFERROR(
   VLOOKUP(
      INDEX('Shared parameters'!$A$2:$A$200,
             MATCH($A109,'Shared parameters'!$B$2:$B$200,0)
      ),
      'Data Entry'!$A$2:$B$200,
      2,
      FALSE
   ),
"")</f>
        <v>30.4</v>
      </c>
      <c r="C109" s="21" t="str">
        <f>IFERROR(
   VLOOKUP(
      INDEX('Shared parameters'!$A$2:$A$200,
             MATCH($A109,'Shared parameters'!$B$2:$B$200,0)
      ),
      'Data Entry'!$A$2:$C$200,
      3,
      FALSE
   ),
"")</f>
        <v>€/m2</v>
      </c>
      <c r="D109" s="21">
        <f>IFERROR(
   VLOOKUP(
      INDEX('Shared parameters'!$A$2:$A$200,
             MATCH($A109,'Shared parameters'!$B$2:$B$200,0)
      ),
      'Data Entry'!$A$2:$D$200,
      4,
      FALSE
   ),
"")</f>
        <v>0</v>
      </c>
    </row>
    <row r="110" spans="1:4" ht="15" thickBot="1" x14ac:dyDescent="0.35">
      <c r="A110" s="21" t="str">
        <f>INDEX(SharedParams[Name],ROW(B109))</f>
        <v>DPP_COD_Maintenance_EUR</v>
      </c>
      <c r="B110" s="21">
        <f>IFERROR(
   VLOOKUP(
      INDEX('Shared parameters'!$A$2:$A$200,
             MATCH($A110,'Shared parameters'!$B$2:$B$200,0)
      ),
      'Data Entry'!$A$2:$B$200,
      2,
      FALSE
   ),
"")</f>
        <v>30</v>
      </c>
      <c r="C110" s="21" t="str">
        <f>IFERROR(
   VLOOKUP(
      INDEX('Shared parameters'!$A$2:$A$200,
             MATCH($A110,'Shared parameters'!$B$2:$B$200,0)
      ),
      'Data Entry'!$A$2:$C$200,
      3,
      FALSE
   ),
"")</f>
        <v>€/m2</v>
      </c>
      <c r="D110" s="21">
        <f>IFERROR(
   VLOOKUP(
      INDEX('Shared parameters'!$A$2:$A$200,
             MATCH($A110,'Shared parameters'!$B$2:$B$200,0)
      ),
      'Data Entry'!$A$2:$D$200,
      4,
      FALSE
   ),
"")</f>
        <v>0</v>
      </c>
    </row>
    <row r="111" spans="1:4" ht="15" thickBot="1" x14ac:dyDescent="0.35">
      <c r="A111" s="21" t="str">
        <f>INDEX(SharedParams[Name],ROW(B110))</f>
        <v>DPP_COD_CircularBenefit_EUR</v>
      </c>
      <c r="B111" s="21">
        <f>IFERROR(
   VLOOKUP(
      INDEX('Shared parameters'!$A$2:$A$200,
             MATCH($A111,'Shared parameters'!$B$2:$B$200,0)
      ),
      'Data Entry'!$A$2:$B$200,
      2,
      FALSE
   ),
"")</f>
        <v>0.39976</v>
      </c>
      <c r="C111" s="21" t="str">
        <f>IFERROR(
   VLOOKUP(
      INDEX('Shared parameters'!$A$2:$A$200,
             MATCH($A111,'Shared parameters'!$B$2:$B$200,0)
      ),
      'Data Entry'!$A$2:$C$200,
      3,
      FALSE
   ),
"")</f>
        <v>€/Unit</v>
      </c>
      <c r="D111" s="21" t="str">
        <f>IFERROR(
   VLOOKUP(
      INDEX('Shared parameters'!$A$2:$A$200,
             MATCH($A111,'Shared parameters'!$B$2:$B$200,0)
      ),
      'Data Entry'!$A$2:$D$200,
      4,
      FALSE
   ),
"")</f>
        <v>0.08 - 1.55</v>
      </c>
    </row>
    <row r="112" spans="1:4" ht="15" thickBot="1" x14ac:dyDescent="0.35">
      <c r="A112" s="21" t="str">
        <f>INDEX(SharedParams[Name],ROW(B111))</f>
        <v>DPP_COD_Replacement_EUR</v>
      </c>
      <c r="B112" s="21">
        <f>IFERROR(
   VLOOKUP(
      INDEX('Shared parameters'!$A$2:$A$200,
             MATCH($A112,'Shared parameters'!$B$2:$B$200,0)
      ),
      'Data Entry'!$A$2:$B$200,
      2,
      FALSE
   ),
"")</f>
        <v>3.4002399999999997</v>
      </c>
      <c r="C112" s="21" t="str">
        <f>IFERROR(
   VLOOKUP(
      INDEX('Shared parameters'!$A$2:$A$200,
             MATCH($A112,'Shared parameters'!$B$2:$B$200,0)
      ),
      'Data Entry'!$A$2:$C$200,
      3,
      FALSE
   ),
"")</f>
        <v>€/Unit</v>
      </c>
      <c r="D112" s="21" t="str">
        <f>IFERROR(
   VLOOKUP(
      INDEX('Shared parameters'!$A$2:$A$200,
             MATCH($A112,'Shared parameters'!$B$2:$B$200,0)
      ),
      'Data Entry'!$A$2:$D$200,
      4,
      FALSE
   ),
"")</f>
        <v>0.90 - 17.00</v>
      </c>
    </row>
    <row r="113" spans="1:4" ht="15" thickBot="1" x14ac:dyDescent="0.35">
      <c r="A113" s="21" t="str">
        <f>INDEX(SharedParams[Name],ROW(B112))</f>
        <v>DPP_COD_NPV_EUR</v>
      </c>
      <c r="B113" s="21">
        <f>IFERROR(
   VLOOKUP(
      INDEX('Shared parameters'!$A$2:$A$200,
             MATCH($A113,'Shared parameters'!$B$2:$B$200,0)
      ),
      'Data Entry'!$A$2:$B$200,
      2,
      FALSE
   ),
"")</f>
        <v>35.570751840116472</v>
      </c>
      <c r="C113" s="21" t="str">
        <f>IFERROR(
   VLOOKUP(
      INDEX('Shared parameters'!$A$2:$A$200,
             MATCH($A113,'Shared parameters'!$B$2:$B$200,0)
      ),
      'Data Entry'!$A$2:$C$200,
      3,
      FALSE
   ),
"")</f>
        <v>€/m2</v>
      </c>
      <c r="D113" s="21">
        <f>IFERROR(
   VLOOKUP(
      INDEX('Shared parameters'!$A$2:$A$200,
             MATCH($A113,'Shared parameters'!$B$2:$B$200,0)
      ),
      'Data Entry'!$A$2:$D$200,
      4,
      FALSE
   ),
"")</f>
        <v>0</v>
      </c>
    </row>
    <row r="114" spans="1:4" ht="15" thickBot="1" x14ac:dyDescent="0.35">
      <c r="A114" s="21" t="str">
        <f>INDEX(SharedParams[Name],ROW(B113))</f>
        <v>DPP_COD_NS_EUR</v>
      </c>
      <c r="B114" s="21">
        <f>IFERROR(
   VLOOKUP(
      INDEX('Shared parameters'!$A$2:$A$200,
             MATCH($A114,'Shared parameters'!$B$2:$B$200,0)
      ),
      'Data Entry'!$A$2:$B$200,
      2,
      FALSE
   ),
"")</f>
        <v>232.208</v>
      </c>
      <c r="C114" s="21" t="str">
        <f>IFERROR(
   VLOOKUP(
      INDEX('Shared parameters'!$A$2:$A$200,
             MATCH($A114,'Shared parameters'!$B$2:$B$200,0)
      ),
      'Data Entry'!$A$2:$C$200,
      3,
      FALSE
   ),
"")</f>
        <v>€/m2</v>
      </c>
      <c r="D114" s="21">
        <f>IFERROR(
   VLOOKUP(
      INDEX('Shared parameters'!$A$2:$A$200,
             MATCH($A114,'Shared parameters'!$B$2:$B$200,0)
      ),
      'Data Entry'!$A$2:$D$200,
      4,
      FALSE
   ),
"")</f>
        <v>0</v>
      </c>
    </row>
    <row r="115" spans="1:4" ht="15" thickBot="1" x14ac:dyDescent="0.35">
      <c r="A115" s="21" t="str">
        <f>INDEX(SharedParams[Name],ROW(B114))</f>
        <v>DPP_COD_PBP</v>
      </c>
      <c r="B115" s="21">
        <f>IFERROR(
   VLOOKUP(
      INDEX('Shared parameters'!$A$2:$A$200,
             MATCH($A115,'Shared parameters'!$B$2:$B$200,0)
      ),
      'Data Entry'!$A$2:$B$200,
      2,
      FALSE
   ),
"")</f>
        <v>12</v>
      </c>
      <c r="C115" s="21" t="str">
        <f>IFERROR(
   VLOOKUP(
      INDEX('Shared parameters'!$A$2:$A$200,
             MATCH($A115,'Shared parameters'!$B$2:$B$200,0)
      ),
      'Data Entry'!$A$2:$C$200,
      3,
      FALSE
   ),
"")</f>
        <v>Year</v>
      </c>
      <c r="D115" s="21">
        <f>IFERROR(
   VLOOKUP(
      INDEX('Shared parameters'!$A$2:$A$200,
             MATCH($A115,'Shared parameters'!$B$2:$B$200,0)
      ),
      'Data Entry'!$A$2:$D$200,
      4,
      FALSE
   ),
"")</f>
        <v>0</v>
      </c>
    </row>
    <row r="116" spans="1:4" ht="15" thickBot="1" x14ac:dyDescent="0.35">
      <c r="A116" s="21" t="str">
        <f>INDEX(SharedParams[Name],ROW(B115))</f>
        <v>DPP_COD_BenefitCost</v>
      </c>
      <c r="B116" s="21">
        <f>IFERROR(
   VLOOKUP(
      INDEX('Shared parameters'!$A$2:$A$200,
             MATCH($A116,'Shared parameters'!$B$2:$B$200,0)
      ),
      'Data Entry'!$A$2:$B$200,
      2,
      FALSE
   ),
"")</f>
        <v>2.1330440709330962</v>
      </c>
      <c r="C116" s="21" t="str">
        <f>IFERROR(
   VLOOKUP(
      INDEX('Shared parameters'!$A$2:$A$200,
             MATCH($A116,'Shared parameters'!$B$2:$B$200,0)
      ),
      'Data Entry'!$A$2:$C$200,
      3,
      FALSE
   ),
"")</f>
        <v>—</v>
      </c>
      <c r="D116" s="21">
        <f>IFERROR(
   VLOOKUP(
      INDEX('Shared parameters'!$A$2:$A$200,
             MATCH($A116,'Shared parameters'!$B$2:$B$200,0)
      ),
      'Data Entry'!$A$2:$D$200,
      4,
      FALSE
   ),
"")</f>
        <v>0</v>
      </c>
    </row>
    <row r="117" spans="1:4" ht="15" thickBot="1" x14ac:dyDescent="0.35">
      <c r="A117" s="21" t="str">
        <f>INDEX(SharedParams[Name],ROW(B116))</f>
        <v>DPP_COD_LCC_EUR</v>
      </c>
      <c r="B117" s="21">
        <f>IFERROR(
   VLOOKUP(
      INDEX('Shared parameters'!$A$2:$A$200,
             MATCH($A117,'Shared parameters'!$B$2:$B$200,0)
      ),
      'Data Entry'!$A$2:$B$200,
      2,
      FALSE
   ),
"")</f>
        <v>47.376342833923765</v>
      </c>
      <c r="C117" s="21" t="str">
        <f>IFERROR(
   VLOOKUP(
      INDEX('Shared parameters'!$A$2:$A$200,
             MATCH($A117,'Shared parameters'!$B$2:$B$200,0)
      ),
      'Data Entry'!$A$2:$C$200,
      3,
      FALSE
   ),
"")</f>
        <v>€/m2</v>
      </c>
      <c r="D117" s="21">
        <f>IFERROR(
   VLOOKUP(
      INDEX('Shared parameters'!$A$2:$A$200,
             MATCH($A117,'Shared parameters'!$B$2:$B$200,0)
      ),
      'Data Entry'!$A$2:$D$200,
      4,
      FALSE
   ),
"")</f>
        <v>0</v>
      </c>
    </row>
    <row r="118" spans="1:4" x14ac:dyDescent="0.3">
      <c r="A118" s="5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Parameter Categories</vt:lpstr>
      <vt:lpstr>Shared parameters</vt:lpstr>
      <vt:lpstr>Built In Parameter groups</vt:lpstr>
      <vt:lpstr>Data Entry</vt:lpstr>
      <vt:lpstr>Manual workflow</vt:lpstr>
      <vt:lpstr>Dynamo workflow (add params)</vt:lpstr>
      <vt:lpstr>Dynamo workflow (set formula)</vt:lpstr>
      <vt:lpstr>Pyrevit workflow</vt:lpstr>
      <vt:lpstr>Parameter mapping</vt:lpstr>
      <vt:lpstr>Final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Catalina</dc:creator>
  <cp:lastModifiedBy>Catalina</cp:lastModifiedBy>
  <dcterms:created xsi:type="dcterms:W3CDTF">2025-12-01T09:43:01Z</dcterms:created>
  <dcterms:modified xsi:type="dcterms:W3CDTF">2025-12-02T12:35:57Z</dcterms:modified>
</cp:coreProperties>
</file>