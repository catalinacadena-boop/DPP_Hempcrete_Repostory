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talina\OneDrive - Pontificia Universidad Javeriana\Desktop\THESIS\Methodology\Base Files\"/>
    </mc:Choice>
  </mc:AlternateContent>
  <bookViews>
    <workbookView xWindow="7488" yWindow="0" windowWidth="22104" windowHeight="9780" activeTab="2"/>
  </bookViews>
  <sheets>
    <sheet name="1 Data Material DPP" sheetId="1" r:id="rId1"/>
    <sheet name="Gap Analysis" sheetId="2" r:id="rId2"/>
    <sheet name="2 Data DPP Material" sheetId="3" r:id="rId3"/>
  </sheets>
  <externalReferences>
    <externalReference r:id="rId4"/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6" i="3" l="1"/>
  <c r="C85" i="3" l="1"/>
  <c r="G12" i="3" l="1"/>
  <c r="G5" i="3" l="1"/>
  <c r="G6" i="3"/>
  <c r="G7" i="3"/>
  <c r="G8" i="3"/>
  <c r="G9" i="3"/>
  <c r="G10" i="3"/>
  <c r="G11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3" i="3"/>
  <c r="G4" i="3"/>
  <c r="G2" i="3"/>
  <c r="B86" i="3"/>
  <c r="E3" i="2"/>
  <c r="E4" i="2"/>
  <c r="E5" i="2"/>
  <c r="B78" i="1"/>
  <c r="B83" i="3" l="1"/>
  <c r="B82" i="3"/>
  <c r="C62" i="3" l="1"/>
  <c r="C61" i="3"/>
  <c r="C60" i="3"/>
  <c r="C59" i="3"/>
  <c r="C58" i="3"/>
  <c r="C57" i="3"/>
  <c r="C45" i="3"/>
  <c r="C44" i="3"/>
  <c r="C43" i="3"/>
  <c r="C42" i="3"/>
  <c r="C41" i="3"/>
  <c r="C40" i="3"/>
  <c r="C39" i="3"/>
  <c r="C47" i="3" s="1"/>
  <c r="C46" i="3"/>
  <c r="C28" i="3"/>
  <c r="C31" i="3"/>
  <c r="C32" i="3" s="1"/>
  <c r="G32" i="3" s="1"/>
  <c r="C27" i="3"/>
  <c r="C19" i="3"/>
  <c r="C16" i="3"/>
  <c r="D12" i="2"/>
  <c r="D3" i="2"/>
  <c r="D4" i="2"/>
  <c r="D5" i="2"/>
  <c r="D6" i="2"/>
  <c r="D7" i="2"/>
  <c r="D8" i="2"/>
  <c r="D9" i="2"/>
  <c r="D10" i="2"/>
  <c r="D11" i="2"/>
  <c r="E6" i="2"/>
  <c r="E7" i="2"/>
  <c r="E8" i="2"/>
  <c r="E9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2" i="2"/>
  <c r="C8" i="2"/>
  <c r="C9" i="2"/>
  <c r="C10" i="2"/>
  <c r="C11" i="2"/>
  <c r="C12" i="2"/>
  <c r="C13" i="2"/>
  <c r="F13" i="2" s="1"/>
  <c r="C14" i="2"/>
  <c r="F14" i="2" s="1"/>
  <c r="C15" i="2"/>
  <c r="F15" i="2" s="1"/>
  <c r="C16" i="2"/>
  <c r="F16" i="2" s="1"/>
  <c r="C17" i="2"/>
  <c r="F17" i="2" s="1"/>
  <c r="C18" i="2"/>
  <c r="F18" i="2" s="1"/>
  <c r="C19" i="2"/>
  <c r="F19" i="2" s="1"/>
  <c r="C20" i="2"/>
  <c r="F20" i="2" s="1"/>
  <c r="C21" i="2"/>
  <c r="F21" i="2" s="1"/>
  <c r="C22" i="2"/>
  <c r="F22" i="2" s="1"/>
  <c r="C23" i="2"/>
  <c r="F23" i="2" s="1"/>
  <c r="C24" i="2"/>
  <c r="F24" i="2" s="1"/>
  <c r="C25" i="2"/>
  <c r="C26" i="2"/>
  <c r="F26" i="2" s="1"/>
  <c r="C27" i="2"/>
  <c r="F27" i="2" s="1"/>
  <c r="C28" i="2"/>
  <c r="F28" i="2" s="1"/>
  <c r="C29" i="2"/>
  <c r="F29" i="2" s="1"/>
  <c r="C30" i="2"/>
  <c r="F30" i="2" s="1"/>
  <c r="C31" i="2"/>
  <c r="F31" i="2" s="1"/>
  <c r="C32" i="2"/>
  <c r="F32" i="2" s="1"/>
  <c r="C33" i="2"/>
  <c r="F33" i="2" s="1"/>
  <c r="C34" i="2"/>
  <c r="F34" i="2" s="1"/>
  <c r="C35" i="2"/>
  <c r="F35" i="2" s="1"/>
  <c r="C36" i="2"/>
  <c r="F36" i="2" s="1"/>
  <c r="C37" i="2"/>
  <c r="F37" i="2" s="1"/>
  <c r="C38" i="2"/>
  <c r="F38" i="2" s="1"/>
  <c r="C39" i="2"/>
  <c r="F39" i="2" s="1"/>
  <c r="C40" i="2"/>
  <c r="F40" i="2" s="1"/>
  <c r="C41" i="2"/>
  <c r="F41" i="2" s="1"/>
  <c r="C42" i="2"/>
  <c r="F42" i="2" s="1"/>
  <c r="C43" i="2"/>
  <c r="F43" i="2" s="1"/>
  <c r="C44" i="2"/>
  <c r="F44" i="2" s="1"/>
  <c r="C45" i="2"/>
  <c r="F45" i="2" s="1"/>
  <c r="C46" i="2"/>
  <c r="F46" i="2" s="1"/>
  <c r="C47" i="2"/>
  <c r="F47" i="2" s="1"/>
  <c r="C48" i="2"/>
  <c r="F48" i="2" s="1"/>
  <c r="C49" i="2"/>
  <c r="F49" i="2" s="1"/>
  <c r="C50" i="2"/>
  <c r="F50" i="2" s="1"/>
  <c r="C51" i="2"/>
  <c r="F51" i="2" s="1"/>
  <c r="C52" i="2"/>
  <c r="F52" i="2" s="1"/>
  <c r="C53" i="2"/>
  <c r="F53" i="2" s="1"/>
  <c r="C54" i="2"/>
  <c r="F54" i="2" s="1"/>
  <c r="C55" i="2"/>
  <c r="F55" i="2" s="1"/>
  <c r="C56" i="2"/>
  <c r="F56" i="2" s="1"/>
  <c r="C57" i="2"/>
  <c r="F57" i="2" s="1"/>
  <c r="C58" i="2"/>
  <c r="F58" i="2" s="1"/>
  <c r="C59" i="2"/>
  <c r="F59" i="2" s="1"/>
  <c r="C60" i="2"/>
  <c r="F60" i="2" s="1"/>
  <c r="C61" i="2"/>
  <c r="F61" i="2" s="1"/>
  <c r="C62" i="2"/>
  <c r="F62" i="2" s="1"/>
  <c r="C63" i="2"/>
  <c r="F63" i="2" s="1"/>
  <c r="C64" i="2"/>
  <c r="F64" i="2" s="1"/>
  <c r="C65" i="2"/>
  <c r="F65" i="2" s="1"/>
  <c r="C66" i="2"/>
  <c r="F66" i="2" s="1"/>
  <c r="C67" i="2"/>
  <c r="F67" i="2" s="1"/>
  <c r="C68" i="2"/>
  <c r="F68" i="2" s="1"/>
  <c r="C69" i="2"/>
  <c r="F69" i="2" s="1"/>
  <c r="C70" i="2"/>
  <c r="F70" i="2" s="1"/>
  <c r="C71" i="2"/>
  <c r="F71" i="2" s="1"/>
  <c r="C72" i="2"/>
  <c r="F72" i="2" s="1"/>
  <c r="C73" i="2"/>
  <c r="F73" i="2" s="1"/>
  <c r="C74" i="2"/>
  <c r="F74" i="2" s="1"/>
  <c r="C75" i="2"/>
  <c r="F75" i="2" s="1"/>
  <c r="C76" i="2"/>
  <c r="F76" i="2" s="1"/>
  <c r="C77" i="2"/>
  <c r="F77" i="2" s="1"/>
  <c r="C78" i="2"/>
  <c r="F78" i="2" s="1"/>
  <c r="C5" i="2"/>
  <c r="C6" i="2"/>
  <c r="F6" i="2" s="1"/>
  <c r="C7" i="2"/>
  <c r="F7" i="2" s="1"/>
  <c r="C4" i="2"/>
  <c r="C3" i="2"/>
  <c r="C2" i="2"/>
  <c r="B85" i="3"/>
  <c r="B84" i="3"/>
  <c r="B8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2" i="1"/>
  <c r="B2" i="2" s="1"/>
  <c r="E10" i="2"/>
  <c r="B3" i="1"/>
  <c r="B3" i="2" s="1"/>
  <c r="B4" i="1"/>
  <c r="B4" i="2" s="1"/>
  <c r="B5" i="1"/>
  <c r="B5" i="2" s="1"/>
  <c r="B6" i="1"/>
  <c r="B6" i="2" s="1"/>
  <c r="B7" i="1"/>
  <c r="B7" i="2" s="1"/>
  <c r="B8" i="1"/>
  <c r="B8" i="2" s="1"/>
  <c r="B9" i="1"/>
  <c r="B9" i="2" s="1"/>
  <c r="B10" i="1"/>
  <c r="B10" i="2" s="1"/>
  <c r="B11" i="1"/>
  <c r="B11" i="2" s="1"/>
  <c r="B12" i="1"/>
  <c r="B12" i="2" s="1"/>
  <c r="B13" i="1"/>
  <c r="B13" i="2" s="1"/>
  <c r="B14" i="1"/>
  <c r="B14" i="2" s="1"/>
  <c r="B15" i="1"/>
  <c r="B15" i="2" s="1"/>
  <c r="B16" i="1"/>
  <c r="B16" i="2" s="1"/>
  <c r="B17" i="1"/>
  <c r="B17" i="2" s="1"/>
  <c r="B18" i="1"/>
  <c r="B18" i="2" s="1"/>
  <c r="B19" i="1"/>
  <c r="B19" i="2" s="1"/>
  <c r="B20" i="1"/>
  <c r="B20" i="2" s="1"/>
  <c r="B21" i="1"/>
  <c r="B21" i="2" s="1"/>
  <c r="B22" i="1"/>
  <c r="B22" i="2" s="1"/>
  <c r="B23" i="1"/>
  <c r="B23" i="2" s="1"/>
  <c r="B24" i="1"/>
  <c r="B24" i="2" s="1"/>
  <c r="B25" i="1"/>
  <c r="B25" i="2" s="1"/>
  <c r="B26" i="1"/>
  <c r="B26" i="2" s="1"/>
  <c r="B27" i="1"/>
  <c r="B27" i="2" s="1"/>
  <c r="B28" i="1"/>
  <c r="B28" i="2" s="1"/>
  <c r="B29" i="1"/>
  <c r="B29" i="2" s="1"/>
  <c r="B30" i="1"/>
  <c r="B30" i="2" s="1"/>
  <c r="B31" i="1"/>
  <c r="B31" i="2" s="1"/>
  <c r="B32" i="1"/>
  <c r="B32" i="2" s="1"/>
  <c r="B33" i="1"/>
  <c r="B33" i="2" s="1"/>
  <c r="B34" i="1"/>
  <c r="B34" i="2" s="1"/>
  <c r="B35" i="1"/>
  <c r="B35" i="2" s="1"/>
  <c r="B36" i="1"/>
  <c r="B36" i="2" s="1"/>
  <c r="B37" i="1"/>
  <c r="B37" i="2" s="1"/>
  <c r="B38" i="1"/>
  <c r="B38" i="2" s="1"/>
  <c r="B39" i="1"/>
  <c r="B39" i="2" s="1"/>
  <c r="B40" i="1"/>
  <c r="B40" i="2" s="1"/>
  <c r="B41" i="1"/>
  <c r="B41" i="2" s="1"/>
  <c r="B42" i="1"/>
  <c r="B42" i="2" s="1"/>
  <c r="B43" i="1"/>
  <c r="B43" i="2" s="1"/>
  <c r="B44" i="1"/>
  <c r="B44" i="2" s="1"/>
  <c r="B45" i="1"/>
  <c r="B45" i="2" s="1"/>
  <c r="B46" i="1"/>
  <c r="B46" i="2" s="1"/>
  <c r="B47" i="1"/>
  <c r="B47" i="2" s="1"/>
  <c r="B48" i="1"/>
  <c r="B48" i="2" s="1"/>
  <c r="B49" i="1"/>
  <c r="B49" i="2" s="1"/>
  <c r="B50" i="1"/>
  <c r="B50" i="2" s="1"/>
  <c r="B51" i="1"/>
  <c r="B51" i="2" s="1"/>
  <c r="B52" i="1"/>
  <c r="B52" i="2" s="1"/>
  <c r="B53" i="1"/>
  <c r="B53" i="2" s="1"/>
  <c r="B54" i="1"/>
  <c r="B54" i="2" s="1"/>
  <c r="B55" i="1"/>
  <c r="B55" i="2" s="1"/>
  <c r="B56" i="1"/>
  <c r="B56" i="2" s="1"/>
  <c r="B57" i="1"/>
  <c r="B57" i="2" s="1"/>
  <c r="B58" i="1"/>
  <c r="B58" i="2" s="1"/>
  <c r="B59" i="1"/>
  <c r="B59" i="2" s="1"/>
  <c r="B60" i="1"/>
  <c r="B60" i="2" s="1"/>
  <c r="B61" i="1"/>
  <c r="B61" i="2" s="1"/>
  <c r="B62" i="1"/>
  <c r="B62" i="2" s="1"/>
  <c r="B63" i="1"/>
  <c r="B63" i="2" s="1"/>
  <c r="B64" i="1"/>
  <c r="B64" i="2" s="1"/>
  <c r="B65" i="1"/>
  <c r="B65" i="2" s="1"/>
  <c r="B66" i="1"/>
  <c r="B66" i="2" s="1"/>
  <c r="B67" i="1"/>
  <c r="B67" i="2" s="1"/>
  <c r="B68" i="1"/>
  <c r="B68" i="2" s="1"/>
  <c r="B69" i="1"/>
  <c r="B69" i="2" s="1"/>
  <c r="B70" i="1"/>
  <c r="B70" i="2" s="1"/>
  <c r="B71" i="1"/>
  <c r="B71" i="2" s="1"/>
  <c r="B72" i="1"/>
  <c r="B72" i="2" s="1"/>
  <c r="B73" i="1"/>
  <c r="B73" i="2" s="1"/>
  <c r="B74" i="1"/>
  <c r="B74" i="2" s="1"/>
  <c r="B75" i="1"/>
  <c r="B75" i="2" s="1"/>
  <c r="B76" i="1"/>
  <c r="B76" i="2" s="1"/>
  <c r="B77" i="1"/>
  <c r="B77" i="2" s="1"/>
  <c r="B78" i="2"/>
  <c r="C48" i="3" l="1"/>
  <c r="G48" i="3" s="1"/>
  <c r="C49" i="3"/>
  <c r="G49" i="3" s="1"/>
  <c r="F3" i="2"/>
  <c r="F11" i="2"/>
  <c r="F25" i="2"/>
  <c r="F5" i="2"/>
  <c r="F2" i="2"/>
  <c r="F10" i="2"/>
  <c r="F9" i="2"/>
  <c r="F12" i="2"/>
  <c r="F4" i="2"/>
  <c r="F8" i="2"/>
</calcChain>
</file>

<file path=xl/sharedStrings.xml><?xml version="1.0" encoding="utf-8"?>
<sst xmlns="http://schemas.openxmlformats.org/spreadsheetml/2006/main" count="620" uniqueCount="226">
  <si>
    <t>Category</t>
  </si>
  <si>
    <t>Parameter</t>
  </si>
  <si>
    <t>1. Identification and General Information</t>
  </si>
  <si>
    <t>BIM parameter</t>
  </si>
  <si>
    <t>2. Physical and Technical Properties</t>
  </si>
  <si>
    <t>3. Circularity and End-of-Life Information</t>
  </si>
  <si>
    <t>4. Environmental Performance and LCA Data</t>
  </si>
  <si>
    <t>5. Condition, Maintenance, and Temporal Data</t>
  </si>
  <si>
    <t>6. Safety and Compliance</t>
  </si>
  <si>
    <t>7. Cultural and Sensory Information</t>
  </si>
  <si>
    <t>8. Economic and Cost Information</t>
  </si>
  <si>
    <t xml:space="preserve">Infill masonry made of hemp stones </t>
  </si>
  <si>
    <t>Z-17.25-1299</t>
  </si>
  <si>
    <t>Schönthaler Bausteinwerk GmbH</t>
  </si>
  <si>
    <t>Data</t>
  </si>
  <si>
    <t>39020 Oris (BZ)</t>
  </si>
  <si>
    <t>HKZ 335</t>
  </si>
  <si>
    <t xml:space="preserve">Hemp-lime composite </t>
  </si>
  <si>
    <t>8x50x20</t>
  </si>
  <si>
    <t>Yes</t>
  </si>
  <si>
    <t>Unit</t>
  </si>
  <si>
    <t>—</t>
  </si>
  <si>
    <t>ID</t>
  </si>
  <si>
    <t>GUID</t>
  </si>
  <si>
    <t>No.</t>
  </si>
  <si>
    <t>cm</t>
  </si>
  <si>
    <t>mm</t>
  </si>
  <si>
    <t>kg/m³</t>
  </si>
  <si>
    <t>Mpa</t>
  </si>
  <si>
    <t>μ</t>
  </si>
  <si>
    <t>d[g/m²vh]</t>
  </si>
  <si>
    <t>Score</t>
  </si>
  <si>
    <t>%</t>
  </si>
  <si>
    <t>URL</t>
  </si>
  <si>
    <t>kg CO₂eq./ Block</t>
  </si>
  <si>
    <t>MJ</t>
  </si>
  <si>
    <t>kg SO₂ eq.</t>
  </si>
  <si>
    <t>years</t>
  </si>
  <si>
    <t>Date</t>
  </si>
  <si>
    <t>CTUh per block</t>
  </si>
  <si>
    <t>kBq U-235 eq per block</t>
  </si>
  <si>
    <t>CTUe (Block)</t>
  </si>
  <si>
    <t>CTUh (Block)</t>
  </si>
  <si>
    <t>€/Unit</t>
  </si>
  <si>
    <t>km</t>
  </si>
  <si>
    <t>Range</t>
  </si>
  <si>
    <t xml:space="preserve"> HKZ 335 - HKZ 360</t>
  </si>
  <si>
    <t>6x22x11; 8x50x20; 12x55x20; 15x50x20; 20x55x20; 24x55x20; 38x55x20; 44x55x20</t>
  </si>
  <si>
    <t>310-360</t>
  </si>
  <si>
    <t>390-450</t>
  </si>
  <si>
    <t>Yes/No</t>
  </si>
  <si>
    <t>1 (Yes) - 0 (No)</t>
  </si>
  <si>
    <t>0.0-1.0</t>
  </si>
  <si>
    <t>1-100%</t>
  </si>
  <si>
    <t>0-1</t>
  </si>
  <si>
    <t>1 (Dificult)- 2 (Moderate)- 3 (Easy)</t>
  </si>
  <si>
    <t>0-100</t>
  </si>
  <si>
    <t>No</t>
  </si>
  <si>
    <t>Not classified as hazardous</t>
  </si>
  <si>
    <t>B (Very limited contribution to fire)</t>
  </si>
  <si>
    <t>s1 (Little or no smoke)</t>
  </si>
  <si>
    <t>d0 (No flaming droplets or particles)</t>
  </si>
  <si>
    <t>B-s1; d0</t>
  </si>
  <si>
    <t>Plastering (respiratiry -active), Painting (Lime milk paint or Clay paint)</t>
  </si>
  <si>
    <t>0.80-15.50</t>
  </si>
  <si>
    <t>Category 1- 4</t>
  </si>
  <si>
    <t>Source</t>
  </si>
  <si>
    <t>German general type approval</t>
  </si>
  <si>
    <t>Hempstone</t>
  </si>
  <si>
    <t>Technical data sheet 06/2025</t>
  </si>
  <si>
    <t>EPD 2025</t>
  </si>
  <si>
    <t xml:space="preserve">Technical data sheet 06/2025 </t>
  </si>
  <si>
    <t xml:space="preserve">Hempblock brochure </t>
  </si>
  <si>
    <t>Report for KBOB list</t>
  </si>
  <si>
    <t>Range Atta et al. 2021</t>
  </si>
  <si>
    <t>Technical data sheet 2017</t>
  </si>
  <si>
    <t xml:space="preserve">Range assigned </t>
  </si>
  <si>
    <t>Mechanical dismantling: Crushing and Sieving for Recycling</t>
  </si>
  <si>
    <t>Reused on the construction site for applications requiring increased density, such as floor material</t>
  </si>
  <si>
    <t>Composting and soil improvement; Disposal via incineration</t>
  </si>
  <si>
    <t>https://www.bau-epd.at/epd/data/schoenthaler-bausteinwerk-gmbh-hanfsteine-ecoinvent-2025</t>
  </si>
  <si>
    <t xml:space="preserve">By manufacturer </t>
  </si>
  <si>
    <t>Technical data sheet 06/2025 (Range GHS)</t>
  </si>
  <si>
    <t>Price list provided by manufacturer</t>
  </si>
  <si>
    <t>General type approval from DIBT (German Institute for Building Technology)</t>
  </si>
  <si>
    <t>Available in Manufacturer Documentation</t>
  </si>
  <si>
    <t>Range Available?</t>
  </si>
  <si>
    <t>Data Source (if available)</t>
  </si>
  <si>
    <t>Gap Identified</t>
  </si>
  <si>
    <t>Proposed Supplementary Source</t>
  </si>
  <si>
    <t xml:space="preserve">Notes </t>
  </si>
  <si>
    <t>After IFC exporting</t>
  </si>
  <si>
    <t>In model</t>
  </si>
  <si>
    <t>Calculate</t>
  </si>
  <si>
    <t>See formula file (Range by family type)</t>
  </si>
  <si>
    <t>Literature</t>
  </si>
  <si>
    <t>Range by Steyn et al., 2025; Asghari &amp; Memari, 2024</t>
  </si>
  <si>
    <t>Range by Steyn et al., 2025; Brzyski et al., 2020</t>
  </si>
  <si>
    <t>Assign</t>
  </si>
  <si>
    <t>If statement - see formula file (Rp)</t>
  </si>
  <si>
    <t>D=(Dc+Rp)/2 (See formula file)</t>
  </si>
  <si>
    <t>(Rc)=%/100</t>
  </si>
  <si>
    <t>If statement - see formula file (Ru)</t>
  </si>
  <si>
    <t>R=(Ru+Rc+Nx+Nc)/4</t>
  </si>
  <si>
    <t>Based on Range</t>
  </si>
  <si>
    <t>Sum of total GWP of avalable stages / funtional unit (See formula file)</t>
  </si>
  <si>
    <t>Sum of PERT of avalable stages / funtional unit (See formula file)</t>
  </si>
  <si>
    <t>Sum of PERNT of avalable stages / funtional unit (See formula file)</t>
  </si>
  <si>
    <t>Sum of AP of avalable stages / funtional unit (See formula file)</t>
  </si>
  <si>
    <t>Sum of total GWP of A-stage / funtional unit (See formula file)</t>
  </si>
  <si>
    <t>EPD biogenic (EN 15804+A2) / funtional unit (See formula file)</t>
  </si>
  <si>
    <t>Sum of total GWP of C-stage / funtional unit (See formula file)</t>
  </si>
  <si>
    <t>(Ei) = 1 - (GWP / GWPmax) - see formula file</t>
  </si>
  <si>
    <t>(w) = R x (Rmax -Rmin) + Rmin (Rmax=1.0 Rmin=0.5) see formula file</t>
  </si>
  <si>
    <t>E=Ei x w</t>
  </si>
  <si>
    <t>Sum of PM of avalable stages / funtional unit (See formula file)</t>
  </si>
  <si>
    <t>Sum of IRP of avalable stages / funtional unit (See formula file)</t>
  </si>
  <si>
    <t>Sum of ETP-fw of avalable stages / funtional unit (See formula file)</t>
  </si>
  <si>
    <t>Sum of HTP-c of avalable stages / funtional unit (See formula file)</t>
  </si>
  <si>
    <t>Sum of HTP-nc of avalable stages / funtional unit (See formula file)</t>
  </si>
  <si>
    <t>Sum of SQP of avalable stages / funtional unit (See formula file)</t>
  </si>
  <si>
    <t>Range DIN EN 13501-1</t>
  </si>
  <si>
    <t>If statement - see formula file (Nc)</t>
  </si>
  <si>
    <t>Direct Observation</t>
  </si>
  <si>
    <t>Translated material properties</t>
  </si>
  <si>
    <t>Score based range: 1 (No expressive value: generic, invisible, or industrial look) to 5 (High expressive value: strong visual/tactile identity, culturally resonant)</t>
  </si>
  <si>
    <t>Score based range: 1 (No craft value: mass-industrial, requires machines, no local know-how) to 5 (High craft value: accessible, fosters community building, ties to traditional skills)</t>
  </si>
  <si>
    <t>IFC standard</t>
  </si>
  <si>
    <t>&lt;500</t>
  </si>
  <si>
    <t>Non-toxic, breathable, natural aesthetics, supports psychological well-being.</t>
  </si>
  <si>
    <t>Color</t>
  </si>
  <si>
    <t>Odor</t>
  </si>
  <si>
    <t>Texture</t>
  </si>
  <si>
    <t>Temperature to touch</t>
  </si>
  <si>
    <t>Climate Suitability</t>
  </si>
  <si>
    <t>Agriculatural Value</t>
  </si>
  <si>
    <t>Resourse Availability</t>
  </si>
  <si>
    <t>Material Aging</t>
  </si>
  <si>
    <t>Architectural Expression</t>
  </si>
  <si>
    <t>Aesthetic Narratives</t>
  </si>
  <si>
    <t>Varied</t>
  </si>
  <si>
    <t>High</t>
  </si>
  <si>
    <t>Regional</t>
  </si>
  <si>
    <t>1.0 - 5.0</t>
  </si>
  <si>
    <t>Climate specific - Climate adaptable</t>
  </si>
  <si>
    <t>Low value crop - High value crop</t>
  </si>
  <si>
    <t>Scarce - Global</t>
  </si>
  <si>
    <t>Calculated</t>
  </si>
  <si>
    <t>Assigned</t>
  </si>
  <si>
    <t>Type II</t>
  </si>
  <si>
    <t>Waterman materials passport framework 2023</t>
  </si>
  <si>
    <t>Type I (Ingredients); Type II (Modular); Type III (Sub-Components)</t>
  </si>
  <si>
    <t>Filled?</t>
  </si>
  <si>
    <t>Hemp-clay; Hemp-cement; Hemp-biopolymer; Hemp-MgO</t>
  </si>
  <si>
    <t>Technical data sheet 06/2025 (Range by Steyn et al., 2025; Barbhuiya &amp; Bhusan, 2022)</t>
  </si>
  <si>
    <t>Kg</t>
  </si>
  <si>
    <t>Technical data sheet 06/2025 (Range by Steyn et al., 2025; Asghari &amp; Memari, 2024)</t>
  </si>
  <si>
    <t>0.06-0.8</t>
  </si>
  <si>
    <t>0.08-0.15</t>
  </si>
  <si>
    <t>Hempblock brochure (Range by Steyn et al., 2025; Brzyski et al., 2020)</t>
  </si>
  <si>
    <t>200 - 300</t>
  </si>
  <si>
    <t>100 - 250</t>
  </si>
  <si>
    <t>300 - 600</t>
  </si>
  <si>
    <t>BIM parameter (Range by standard masonry formats)</t>
  </si>
  <si>
    <t>0.006 - 0.036</t>
  </si>
  <si>
    <t>6.00 - 15.00</t>
  </si>
  <si>
    <t>4.9 - 5.7</t>
  </si>
  <si>
    <t>12.2 - 12.4</t>
  </si>
  <si>
    <t>Technical data sheet 06/2025 (Range by Brzyski et al., 2020)</t>
  </si>
  <si>
    <t>100 - 300</t>
  </si>
  <si>
    <t>Technical data sheet 06/2025 (Expected real lifespan under proper maintenance and protection: coatings, controlled RH &lt; 70%)</t>
  </si>
  <si>
    <t>&lt; 100 - 500</t>
  </si>
  <si>
    <t>By manufacturer (Benchmark of regional or local soursing in some PCRs)</t>
  </si>
  <si>
    <t>A-F (Non combustible to No performance determined)</t>
  </si>
  <si>
    <t>s1-s3 (Little or no smoke to Hight smoke prodcution)</t>
  </si>
  <si>
    <t>d0-d2 (No to significante flaming droplets or particles)</t>
  </si>
  <si>
    <t>A1;A2-s1,d0;A2-s3,d2;B-s1,d0;B-s3,d2;C-s1,d0;C-s3,d2;D-s1,d0;D-s3,d2;E-d2;F</t>
  </si>
  <si>
    <t>Technical data sheet 06/2025 (Range DIN EN 13501-1)</t>
  </si>
  <si>
    <t>breathable, vapor-permeable coatings, including lime-based plaster and natural mineral paints</t>
  </si>
  <si>
    <t>lime, clay, silicate, and occasionally bio-based mineral coatings</t>
  </si>
  <si>
    <t>Technical data sheet 06/2025 (Range by Kinnane et al., 2016)</t>
  </si>
  <si>
    <t>Very poor (Releases harmfull susbtances, feels umpleasent) to Excellent (Safe, natural and pleasant)</t>
  </si>
  <si>
    <t>Based on experiential and traditional architectural practice, user perception, and the material’s natural aesthetic and tactile qualitie</t>
  </si>
  <si>
    <t>Based on climatic performance studies and traditional building experience</t>
  </si>
  <si>
    <t>Manual dismantling; Semi-Mechanical Disassembly; Thermal Disassembly; Chemical Disassembly; Demolition; Modular Disassembly</t>
  </si>
  <si>
    <t>EPD 2025 (Range by ISO 20887:2020)</t>
  </si>
  <si>
    <t>Direc reuse; Partial reuse; Reprocessing into aggregare; Soil amendment; Upcycling into thermal or acoustic insulation; Upcycling into new composites or panels; Backfilling</t>
  </si>
  <si>
    <t>EPD 2025 (Range by European Commission 2020, LEVEL(s))</t>
  </si>
  <si>
    <t>Biological recovery; Material recyclcing; Energy recovery; Landfill disposal</t>
  </si>
  <si>
    <t>EPD 2025 (Range by EN 15804:2012 +A2:2019)</t>
  </si>
  <si>
    <t>Natural Beige #D8C9A6</t>
  </si>
  <si>
    <t>Mild, earthy, lime-fresh scent</t>
  </si>
  <si>
    <t>Porous, fibrous, and dry to the touch</t>
  </si>
  <si>
    <t>Feels thermally neutral or slightly warm</t>
  </si>
  <si>
    <t>Light beige; Pale grey; Soft brown</t>
  </si>
  <si>
    <t>Direct observation (Range depends on lime content, hemp shiv hue, and curing exposure)</t>
  </si>
  <si>
    <t>Neutral; Mild earthy; Strong organic</t>
  </si>
  <si>
    <t>Direct observation (Range depends on time from initial reaction)</t>
  </si>
  <si>
    <t>Smooth; Slightly rough; Coarse fibrous</t>
  </si>
  <si>
    <t>Direct observation (Range depends on mix and compaction)</t>
  </si>
  <si>
    <t>Cold; Neutral; Warm</t>
  </si>
  <si>
    <t>Direct observation (Range depends on porosity and effusivity)</t>
  </si>
  <si>
    <t>0.08 - 1.55</t>
  </si>
  <si>
    <t>0.90 - 17.00</t>
  </si>
  <si>
    <t>Assumed based on on-site reuse potential and processing demand</t>
  </si>
  <si>
    <t>-6.6 - 3.8</t>
  </si>
  <si>
    <t>Calculated from EPD (Range derived from published volumetric ranges (≈ −184 to +105 kg CO₂e/m³))</t>
  </si>
  <si>
    <t>10 - 30</t>
  </si>
  <si>
    <t>8 - 25</t>
  </si>
  <si>
    <t>Calculated from EPD (Range corresponds to ≈ 2.5 – 3.5 MJ/kg embodied energy for densities of 300–330 kg/m3)</t>
  </si>
  <si>
    <t>0.0001 - 0.0006</t>
  </si>
  <si>
    <t>Calculated from EPD (Rage based on reported values of 74–143 g SO₂ eq./m² of wall scaled to typical hempcrete block volumes)</t>
  </si>
  <si>
    <t>-2.5 - 2.0</t>
  </si>
  <si>
    <t xml:space="preserve">0.2 - 0.8 </t>
  </si>
  <si>
    <t>1.0 - 2.5</t>
  </si>
  <si>
    <t>Calculated from EPD (Range based on based on published LCAs of hempcrete walls and prefabricated blocks in the UK, France, and Italy)</t>
  </si>
  <si>
    <t>Calculated from EPD (Range based on studies quantifying carbon sequestration through photosynthesis and lime carbonation)</t>
  </si>
  <si>
    <t>Calculated from EPD (Range based on scenarios assuming incineration, composting, or partial mineralization at disposal)</t>
  </si>
  <si>
    <t>1.0E-7 - 5.0E-7</t>
  </si>
  <si>
    <t>0.01 - 0.05</t>
  </si>
  <si>
    <t>8 - 20</t>
  </si>
  <si>
    <t>1.0E-10 - 1.0E-9</t>
  </si>
  <si>
    <t>1.0E-8 - 1.0E-7</t>
  </si>
  <si>
    <t>40 - 90</t>
  </si>
  <si>
    <t>EPD 2025 (Total stages A1-A5+ C1-C3+ D) (Range based on comparative LCAs and EPD datasets of hemp-lime wall systems and other bio-based materials)</t>
  </si>
  <si>
    <t>Assumed on price minus reuse potentian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</si>
</sst>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000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20" fontId="3" fillId="0" borderId="4" xfId="0" applyNumberFormat="1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4" fillId="0" borderId="4" xfId="1" applyBorder="1" applyAlignment="1">
      <alignment horizontal="left" vertical="center" wrapText="1"/>
    </xf>
    <xf numFmtId="2" fontId="3" fillId="0" borderId="4" xfId="0" applyNumberFormat="1" applyFont="1" applyBorder="1" applyAlignment="1">
      <alignment horizontal="left" vertical="center" wrapText="1"/>
    </xf>
    <xf numFmtId="11" fontId="3" fillId="0" borderId="4" xfId="0" applyNumberFormat="1" applyFont="1" applyBorder="1" applyAlignment="1">
      <alignment horizontal="left" vertical="center" wrapText="1"/>
    </xf>
    <xf numFmtId="1" fontId="3" fillId="0" borderId="4" xfId="0" applyNumberFormat="1" applyFont="1" applyBorder="1" applyAlignment="1">
      <alignment horizontal="left" vertical="center" wrapText="1"/>
    </xf>
    <xf numFmtId="164" fontId="3" fillId="0" borderId="4" xfId="0" applyNumberFormat="1" applyFont="1" applyBorder="1" applyAlignment="1">
      <alignment horizontal="left" vertical="center" wrapText="1"/>
    </xf>
    <xf numFmtId="165" fontId="3" fillId="0" borderId="4" xfId="0" applyNumberFormat="1" applyFont="1" applyBorder="1" applyAlignment="1">
      <alignment horizontal="left" vertical="center" wrapText="1"/>
    </xf>
    <xf numFmtId="0" fontId="3" fillId="0" borderId="4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66" fontId="3" fillId="0" borderId="4" xfId="0" applyNumberFormat="1" applyFont="1" applyBorder="1" applyAlignment="1">
      <alignment horizontal="left" vertical="center" wrapText="1"/>
    </xf>
    <xf numFmtId="16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17" fontId="3" fillId="0" borderId="4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4" xfId="0" quotePrefix="1" applyFont="1" applyBorder="1" applyAlignment="1">
      <alignment horizontal="center" vertical="center" wrapText="1"/>
    </xf>
    <xf numFmtId="11" fontId="3" fillId="0" borderId="4" xfId="0" applyNumberFormat="1" applyFont="1" applyBorder="1" applyAlignment="1">
      <alignment horizontal="center" vertical="center" wrapText="1"/>
    </xf>
    <xf numFmtId="17" fontId="3" fillId="0" borderId="4" xfId="0" quotePrefix="1" applyNumberFormat="1" applyFont="1" applyBorder="1" applyAlignment="1">
      <alignment horizontal="center" vertical="center" wrapText="1"/>
    </xf>
    <xf numFmtId="0" fontId="5" fillId="0" borderId="0" xfId="0" applyFont="1"/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6">
    <dxf>
      <font>
        <color theme="9" tint="0.59996337778862885"/>
      </font>
      <fill>
        <patternFill>
          <bgColor theme="9" tint="0.39994506668294322"/>
        </patternFill>
      </fill>
    </dxf>
    <dxf>
      <font>
        <color rgb="FFFF9999"/>
      </font>
      <fill>
        <patternFill>
          <bgColor rgb="FFFF7C80"/>
        </patternFill>
      </fill>
    </dxf>
    <dxf>
      <font>
        <color theme="0"/>
      </font>
    </dxf>
    <dxf>
      <font>
        <color theme="0"/>
      </font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colors>
    <mruColors>
      <color rgb="FFFF7C80"/>
      <color rgb="FFFF6699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terial%20level%20categori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talina/OneDrive%20-%20Pontificia%20Universidad%20Javeriana/Desktop/THESIS/Methodology/GAP%20ANALYSIS%202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P Categories"/>
    </sheetNames>
    <sheetDataSet>
      <sheetData sheetId="0">
        <row r="2">
          <cell r="B2" t="str">
            <v>Product Name</v>
          </cell>
        </row>
        <row r="3">
          <cell r="B3" t="str">
            <v>Product ID</v>
          </cell>
        </row>
        <row r="4">
          <cell r="B4" t="str">
            <v>Object number</v>
          </cell>
        </row>
        <row r="5">
          <cell r="B5" t="str">
            <v>Material Type</v>
          </cell>
        </row>
        <row r="6">
          <cell r="B6" t="str">
            <v xml:space="preserve">Manufacturer </v>
          </cell>
        </row>
        <row r="10">
          <cell r="B10" t="str">
            <v>Traceability ID</v>
          </cell>
        </row>
        <row r="11">
          <cell r="B11" t="str">
            <v>Origin</v>
          </cell>
        </row>
        <row r="12">
          <cell r="B12" t="str">
            <v>Version number</v>
          </cell>
        </row>
        <row r="13">
          <cell r="B13" t="str">
            <v>Material</v>
          </cell>
        </row>
        <row r="15">
          <cell r="B15" t="str">
            <v>Composition</v>
          </cell>
        </row>
        <row r="16">
          <cell r="B16" t="str">
            <v>Dimensions</v>
          </cell>
        </row>
        <row r="17">
          <cell r="B17" t="str">
            <v>Height</v>
          </cell>
        </row>
        <row r="18">
          <cell r="B18" t="str">
            <v>Length</v>
          </cell>
        </row>
        <row r="19">
          <cell r="B19" t="str">
            <v>Width</v>
          </cell>
        </row>
        <row r="20">
          <cell r="B20" t="str">
            <v>Volume</v>
          </cell>
        </row>
        <row r="21">
          <cell r="B21" t="str">
            <v>Dry density</v>
          </cell>
        </row>
        <row r="22">
          <cell r="B22" t="str">
            <v>Equilibrium density</v>
          </cell>
        </row>
        <row r="23">
          <cell r="B23" t="str">
            <v>Weight</v>
          </cell>
        </row>
        <row r="24">
          <cell r="B24" t="str">
            <v>Compressive strength</v>
          </cell>
        </row>
        <row r="25">
          <cell r="B25" t="str">
            <v>Shear strength</v>
          </cell>
        </row>
        <row r="31">
          <cell r="B31" t="str">
            <v>Water vapour diffusion
resistance when wet</v>
          </cell>
        </row>
        <row r="32">
          <cell r="B32" t="str">
            <v>Water vapour diffusion
resistance when dry</v>
          </cell>
        </row>
        <row r="33">
          <cell r="B33" t="str">
            <v>Water vapour absorption resistance</v>
          </cell>
        </row>
        <row r="34">
          <cell r="B34" t="str">
            <v>Standard compliance</v>
          </cell>
        </row>
        <row r="37">
          <cell r="B37" t="str">
            <v xml:space="preserve">Prefabrication </v>
          </cell>
        </row>
        <row r="38">
          <cell r="B38" t="str">
            <v>Prefabrication factor</v>
          </cell>
        </row>
        <row r="39">
          <cell r="B39" t="str">
            <v>Deconstructability score</v>
          </cell>
        </row>
        <row r="40">
          <cell r="B40" t="str">
            <v>Recycling potential</v>
          </cell>
        </row>
        <row r="41">
          <cell r="B41" t="str">
            <v xml:space="preserve">Reusability </v>
          </cell>
        </row>
        <row r="42">
          <cell r="B42" t="str">
            <v>Reusability potential</v>
          </cell>
        </row>
        <row r="43">
          <cell r="B43" t="str">
            <v>Recovery score</v>
          </cell>
        </row>
        <row r="44">
          <cell r="B44" t="str">
            <v>Disassembly potential</v>
          </cell>
        </row>
        <row r="45">
          <cell r="B45" t="str">
            <v>Disassembly instructions</v>
          </cell>
        </row>
        <row r="46">
          <cell r="B46" t="str">
            <v>Secondary use scenarios</v>
          </cell>
        </row>
        <row r="47">
          <cell r="B47" t="str">
            <v>End-of-life recommendation</v>
          </cell>
        </row>
        <row r="48">
          <cell r="B48" t="str">
            <v xml:space="preserve">EPD </v>
          </cell>
        </row>
        <row r="49">
          <cell r="B49" t="str">
            <v>Link EPD</v>
          </cell>
        </row>
        <row r="50">
          <cell r="B50" t="str">
            <v>Global Warming Potential (GWP)</v>
          </cell>
        </row>
        <row r="51">
          <cell r="B51" t="str">
            <v>Primary Energy Intensity (PEI) Renewable</v>
          </cell>
        </row>
        <row r="52">
          <cell r="B52" t="str">
            <v>Primary Energy Intensity (PEI) Non-renewable</v>
          </cell>
        </row>
        <row r="53">
          <cell r="B53" t="str">
            <v>Acidification Potential (AP)</v>
          </cell>
        </row>
        <row r="54">
          <cell r="B54" t="str">
            <v>Embodied carbon</v>
          </cell>
        </row>
        <row r="55">
          <cell r="B55" t="str">
            <v>Biogenic carbon storage</v>
          </cell>
        </row>
        <row r="56">
          <cell r="B56" t="str">
            <v>End-of-life emissions</v>
          </cell>
        </row>
        <row r="57">
          <cell r="B57" t="str">
            <v>Circularity index</v>
          </cell>
        </row>
        <row r="58">
          <cell r="B58" t="str">
            <v>Normalized environmental performance</v>
          </cell>
        </row>
        <row r="59">
          <cell r="B59" t="str">
            <v>Secondary life weighting</v>
          </cell>
        </row>
        <row r="60">
          <cell r="B60" t="str">
            <v>Environmental score</v>
          </cell>
        </row>
        <row r="61">
          <cell r="B61" t="str">
            <v>Service life</v>
          </cell>
        </row>
        <row r="63">
          <cell r="B63" t="str">
            <v>Soursing distance</v>
          </cell>
        </row>
        <row r="64">
          <cell r="B64" t="str">
            <v>Warranty</v>
          </cell>
        </row>
        <row r="66">
          <cell r="B66" t="str">
            <v>Update history</v>
          </cell>
        </row>
        <row r="67">
          <cell r="B67" t="str">
            <v xml:space="preserve">HPD </v>
          </cell>
        </row>
        <row r="68">
          <cell r="B68" t="str">
            <v>Link HPD</v>
          </cell>
        </row>
        <row r="69">
          <cell r="B69" t="str">
            <v>Hazard classification</v>
          </cell>
        </row>
        <row r="70">
          <cell r="B70" t="str">
            <v>PM</v>
          </cell>
        </row>
        <row r="71">
          <cell r="B71" t="str">
            <v>IRP</v>
          </cell>
        </row>
        <row r="72">
          <cell r="B72" t="str">
            <v>ETP-fw</v>
          </cell>
        </row>
        <row r="73">
          <cell r="B73" t="str">
            <v>HTP-c</v>
          </cell>
        </row>
        <row r="74">
          <cell r="B74" t="str">
            <v>HTP-nc</v>
          </cell>
        </row>
        <row r="75">
          <cell r="B75" t="str">
            <v>SQP</v>
          </cell>
        </row>
        <row r="76">
          <cell r="B76" t="str">
            <v>Toxicity</v>
          </cell>
        </row>
        <row r="77">
          <cell r="B77" t="str">
            <v>Class</v>
          </cell>
        </row>
        <row r="78">
          <cell r="B78" t="str">
            <v>s-subclass</v>
          </cell>
        </row>
        <row r="79">
          <cell r="B79" t="str">
            <v>d_subclass</v>
          </cell>
        </row>
        <row r="80">
          <cell r="B80" t="str">
            <v>Fire resistance</v>
          </cell>
        </row>
        <row r="81">
          <cell r="B81" t="str">
            <v xml:space="preserve">Coatings </v>
          </cell>
        </row>
        <row r="82">
          <cell r="B82" t="str">
            <v>Coatings or treatments</v>
          </cell>
        </row>
        <row r="84">
          <cell r="B84" t="str">
            <v>Compliance certificates</v>
          </cell>
        </row>
        <row r="87">
          <cell r="B87" t="str">
            <v>Material perception &amp; sensory qualities</v>
          </cell>
        </row>
        <row r="88">
          <cell r="B88" t="str">
            <v>Cultural or regional relevance</v>
          </cell>
        </row>
        <row r="89">
          <cell r="B89" t="str">
            <v>Aesthetic evolution</v>
          </cell>
        </row>
        <row r="93">
          <cell r="B93" t="str">
            <v>Material Comfort</v>
          </cell>
        </row>
        <row r="94">
          <cell r="B94" t="str">
            <v>Craft or community engagement</v>
          </cell>
        </row>
        <row r="95">
          <cell r="B95" t="str">
            <v>Material unit cost</v>
          </cell>
        </row>
        <row r="98">
          <cell r="B98" t="str">
            <v>Economic circularity benefit</v>
          </cell>
        </row>
        <row r="99">
          <cell r="B99" t="str">
            <v>Replacement cost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DPP Data"/>
      <sheetName val="Gap Analysis"/>
      <sheetName val="2 DPP Data"/>
      <sheetName val="Share paramters"/>
      <sheetName val="Formulas"/>
      <sheetName val="Property sets"/>
      <sheetName val="Mapping"/>
    </sheetNames>
    <sheetDataSet>
      <sheetData sheetId="0">
        <row r="82">
          <cell r="B82" t="str">
            <v>Climate Suitability</v>
          </cell>
        </row>
        <row r="83">
          <cell r="B83" t="str">
            <v>Agriculatural Value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au-epd.at/epd/data/schoenthaler-bausteinwerk-gmbh-hanfsteine-ecoinvent-202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bau-epd.at/epd/data/schoenthaler-bausteinwerk-gmbh-hanfsteine-ecoinvent-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topLeftCell="A22" zoomScale="90" zoomScaleNormal="90" workbookViewId="0">
      <selection activeCell="F9" sqref="F9"/>
    </sheetView>
  </sheetViews>
  <sheetFormatPr baseColWidth="10" defaultRowHeight="14.4" x14ac:dyDescent="0.3"/>
  <cols>
    <col min="1" max="1" width="20.5546875" customWidth="1"/>
    <col min="2" max="2" width="26.6640625" customWidth="1"/>
    <col min="3" max="3" width="22.88671875" customWidth="1"/>
    <col min="4" max="4" width="11.6640625" customWidth="1"/>
    <col min="5" max="5" width="31.6640625" customWidth="1"/>
    <col min="6" max="6" width="28.5546875" customWidth="1"/>
  </cols>
  <sheetData>
    <row r="1" spans="1:6" ht="15" thickBot="1" x14ac:dyDescent="0.35">
      <c r="A1" s="1" t="s">
        <v>0</v>
      </c>
      <c r="B1" s="2" t="s">
        <v>1</v>
      </c>
      <c r="C1" s="2" t="s">
        <v>14</v>
      </c>
      <c r="D1" s="2" t="s">
        <v>20</v>
      </c>
      <c r="E1" s="2" t="s">
        <v>45</v>
      </c>
      <c r="F1" s="2" t="s">
        <v>66</v>
      </c>
    </row>
    <row r="2" spans="1:6" ht="15" thickBot="1" x14ac:dyDescent="0.35">
      <c r="A2" s="28" t="s">
        <v>2</v>
      </c>
      <c r="B2" s="3" t="str">
        <f>'[1]DPP Categories'!B2</f>
        <v>Product Name</v>
      </c>
      <c r="C2" s="5" t="s">
        <v>68</v>
      </c>
      <c r="D2" s="4" t="s">
        <v>21</v>
      </c>
      <c r="E2" s="4" t="s">
        <v>21</v>
      </c>
      <c r="F2" s="3" t="s">
        <v>69</v>
      </c>
    </row>
    <row r="3" spans="1:6" ht="15" thickBot="1" x14ac:dyDescent="0.35">
      <c r="A3" s="29"/>
      <c r="B3" s="3" t="str">
        <f>'[1]DPP Categories'!B3</f>
        <v>Product ID</v>
      </c>
      <c r="C3" s="5" t="s">
        <v>12</v>
      </c>
      <c r="D3" s="4" t="s">
        <v>22</v>
      </c>
      <c r="E3" s="4" t="s">
        <v>21</v>
      </c>
      <c r="F3" s="3" t="s">
        <v>67</v>
      </c>
    </row>
    <row r="4" spans="1:6" ht="18" customHeight="1" thickBot="1" x14ac:dyDescent="0.35">
      <c r="A4" s="29"/>
      <c r="B4" s="3" t="str">
        <f>'[1]DPP Categories'!B4</f>
        <v>Object number</v>
      </c>
      <c r="C4" s="5"/>
      <c r="D4" s="4" t="s">
        <v>23</v>
      </c>
      <c r="E4" s="4" t="s">
        <v>21</v>
      </c>
      <c r="F4" s="3" t="s">
        <v>3</v>
      </c>
    </row>
    <row r="5" spans="1:6" ht="16.8" customHeight="1" thickBot="1" x14ac:dyDescent="0.35">
      <c r="A5" s="29"/>
      <c r="B5" s="3" t="str">
        <f>'[1]DPP Categories'!B5</f>
        <v>Material Type</v>
      </c>
      <c r="C5" s="5"/>
      <c r="D5" s="4" t="s">
        <v>21</v>
      </c>
      <c r="E5" s="4" t="s">
        <v>21</v>
      </c>
      <c r="F5" s="3"/>
    </row>
    <row r="6" spans="1:6" ht="28.2" thickBot="1" x14ac:dyDescent="0.35">
      <c r="A6" s="29"/>
      <c r="B6" s="3" t="str">
        <f>'[1]DPP Categories'!B6</f>
        <v xml:space="preserve">Manufacturer </v>
      </c>
      <c r="C6" s="5" t="s">
        <v>13</v>
      </c>
      <c r="D6" s="4" t="s">
        <v>21</v>
      </c>
      <c r="E6" s="4" t="s">
        <v>21</v>
      </c>
      <c r="F6" s="3" t="s">
        <v>67</v>
      </c>
    </row>
    <row r="7" spans="1:6" ht="15" thickBot="1" x14ac:dyDescent="0.35">
      <c r="A7" s="29"/>
      <c r="B7" s="3" t="str">
        <f>'[1]DPP Categories'!B10</f>
        <v>Traceability ID</v>
      </c>
      <c r="C7" s="5"/>
      <c r="D7" s="4"/>
      <c r="E7" s="4" t="s">
        <v>21</v>
      </c>
      <c r="F7" s="3"/>
    </row>
    <row r="8" spans="1:6" ht="15" customHeight="1" thickBot="1" x14ac:dyDescent="0.35">
      <c r="A8" s="29"/>
      <c r="B8" s="3" t="str">
        <f>'[1]DPP Categories'!B11</f>
        <v>Origin</v>
      </c>
      <c r="C8" s="5" t="s">
        <v>15</v>
      </c>
      <c r="D8" s="4" t="s">
        <v>21</v>
      </c>
      <c r="E8" s="4" t="s">
        <v>21</v>
      </c>
      <c r="F8" s="3"/>
    </row>
    <row r="9" spans="1:6" ht="15" thickBot="1" x14ac:dyDescent="0.35">
      <c r="A9" s="30"/>
      <c r="B9" s="3" t="str">
        <f>'[1]DPP Categories'!B12</f>
        <v>Version number</v>
      </c>
      <c r="C9" s="5" t="s">
        <v>16</v>
      </c>
      <c r="D9" s="4" t="s">
        <v>24</v>
      </c>
      <c r="E9" s="4" t="s">
        <v>46</v>
      </c>
      <c r="F9" s="3" t="s">
        <v>67</v>
      </c>
    </row>
    <row r="10" spans="1:6" ht="28.2" customHeight="1" thickBot="1" x14ac:dyDescent="0.35">
      <c r="A10" s="28" t="s">
        <v>4</v>
      </c>
      <c r="B10" s="3" t="str">
        <f>'[1]DPP Categories'!B13</f>
        <v>Material</v>
      </c>
      <c r="C10" s="5" t="s">
        <v>11</v>
      </c>
      <c r="D10" s="4" t="s">
        <v>21</v>
      </c>
      <c r="E10" s="4" t="s">
        <v>21</v>
      </c>
      <c r="F10" s="3" t="s">
        <v>3</v>
      </c>
    </row>
    <row r="11" spans="1:6" ht="21" customHeight="1" thickBot="1" x14ac:dyDescent="0.35">
      <c r="A11" s="29"/>
      <c r="B11" s="3" t="str">
        <f>'[1]DPP Categories'!B15</f>
        <v>Composition</v>
      </c>
      <c r="C11" s="6" t="s">
        <v>17</v>
      </c>
      <c r="D11" s="4" t="s">
        <v>21</v>
      </c>
      <c r="E11" s="4"/>
      <c r="F11" s="3" t="s">
        <v>69</v>
      </c>
    </row>
    <row r="12" spans="1:6" ht="42" thickBot="1" x14ac:dyDescent="0.35">
      <c r="A12" s="29"/>
      <c r="B12" s="3" t="str">
        <f>'[1]DPP Categories'!B16</f>
        <v>Dimensions</v>
      </c>
      <c r="C12" s="5" t="s">
        <v>18</v>
      </c>
      <c r="D12" s="4" t="s">
        <v>25</v>
      </c>
      <c r="E12" s="4" t="s">
        <v>47</v>
      </c>
      <c r="F12" s="3" t="s">
        <v>75</v>
      </c>
    </row>
    <row r="13" spans="1:6" ht="15" thickBot="1" x14ac:dyDescent="0.35">
      <c r="A13" s="29"/>
      <c r="B13" s="3" t="str">
        <f>'[1]DPP Categories'!B17</f>
        <v>Height</v>
      </c>
      <c r="C13" s="5"/>
      <c r="D13" s="4" t="s">
        <v>26</v>
      </c>
      <c r="E13" s="4"/>
      <c r="F13" s="3"/>
    </row>
    <row r="14" spans="1:6" ht="15" thickBot="1" x14ac:dyDescent="0.35">
      <c r="A14" s="29"/>
      <c r="B14" s="3" t="str">
        <f>'[1]DPP Categories'!B18</f>
        <v>Length</v>
      </c>
      <c r="C14" s="5"/>
      <c r="D14" s="4" t="s">
        <v>26</v>
      </c>
      <c r="E14" s="4"/>
      <c r="F14" s="3"/>
    </row>
    <row r="15" spans="1:6" ht="15" thickBot="1" x14ac:dyDescent="0.35">
      <c r="A15" s="29"/>
      <c r="B15" s="3" t="str">
        <f>'[1]DPP Categories'!B19</f>
        <v>Width</v>
      </c>
      <c r="C15" s="5"/>
      <c r="D15" s="4" t="s">
        <v>26</v>
      </c>
      <c r="E15" s="4"/>
      <c r="F15" s="3"/>
    </row>
    <row r="16" spans="1:6" ht="15" thickBot="1" x14ac:dyDescent="0.35">
      <c r="A16" s="29"/>
      <c r="B16" s="3" t="str">
        <f>'[1]DPP Categories'!B20</f>
        <v>Volume</v>
      </c>
      <c r="C16" s="5"/>
      <c r="D16" s="4" t="s">
        <v>21</v>
      </c>
      <c r="E16" s="4"/>
      <c r="F16" s="3"/>
    </row>
    <row r="17" spans="1:6" ht="15" thickBot="1" x14ac:dyDescent="0.35">
      <c r="A17" s="29"/>
      <c r="B17" s="3" t="str">
        <f>'[1]DPP Categories'!B21</f>
        <v>Dry density</v>
      </c>
      <c r="C17" s="5">
        <v>335</v>
      </c>
      <c r="D17" s="4" t="s">
        <v>27</v>
      </c>
      <c r="E17" s="4" t="s">
        <v>48</v>
      </c>
      <c r="F17" s="3" t="s">
        <v>70</v>
      </c>
    </row>
    <row r="18" spans="1:6" ht="15" thickBot="1" x14ac:dyDescent="0.35">
      <c r="A18" s="29"/>
      <c r="B18" s="3" t="str">
        <f>'[1]DPP Categories'!B22</f>
        <v>Equilibrium density</v>
      </c>
      <c r="C18" s="5">
        <v>405</v>
      </c>
      <c r="D18" s="4" t="s">
        <v>27</v>
      </c>
      <c r="E18" s="4" t="s">
        <v>49</v>
      </c>
      <c r="F18" s="3" t="s">
        <v>70</v>
      </c>
    </row>
    <row r="19" spans="1:6" ht="15" thickBot="1" x14ac:dyDescent="0.35">
      <c r="A19" s="29"/>
      <c r="B19" s="3" t="str">
        <f>'[1]DPP Categories'!B23</f>
        <v>Weight</v>
      </c>
      <c r="C19" s="5"/>
      <c r="D19" s="4"/>
      <c r="E19" s="4"/>
      <c r="F19" s="3"/>
    </row>
    <row r="20" spans="1:6" ht="15" thickBot="1" x14ac:dyDescent="0.35">
      <c r="A20" s="29"/>
      <c r="B20" s="3" t="str">
        <f>'[1]DPP Categories'!B24</f>
        <v>Compressive strength</v>
      </c>
      <c r="C20" s="5">
        <v>0.5</v>
      </c>
      <c r="D20" s="4" t="s">
        <v>28</v>
      </c>
      <c r="E20" s="4"/>
      <c r="F20" s="3" t="s">
        <v>71</v>
      </c>
    </row>
    <row r="21" spans="1:6" ht="15" thickBot="1" x14ac:dyDescent="0.35">
      <c r="A21" s="29"/>
      <c r="B21" s="3" t="str">
        <f>'[1]DPP Categories'!B25</f>
        <v>Shear strength</v>
      </c>
      <c r="C21" s="5">
        <v>0.12</v>
      </c>
      <c r="D21" s="4" t="s">
        <v>28</v>
      </c>
      <c r="E21" s="4"/>
      <c r="F21" s="3" t="s">
        <v>72</v>
      </c>
    </row>
    <row r="22" spans="1:6" ht="28.2" thickBot="1" x14ac:dyDescent="0.35">
      <c r="A22" s="29"/>
      <c r="B22" s="3" t="str">
        <f>'[1]DPP Categories'!B31</f>
        <v>Water vapour diffusion
resistance when wet</v>
      </c>
      <c r="C22" s="5">
        <v>3.8</v>
      </c>
      <c r="D22" s="4" t="s">
        <v>29</v>
      </c>
      <c r="E22" s="4"/>
      <c r="F22" s="3" t="s">
        <v>69</v>
      </c>
    </row>
    <row r="23" spans="1:6" ht="28.2" thickBot="1" x14ac:dyDescent="0.35">
      <c r="A23" s="29"/>
      <c r="B23" s="3" t="str">
        <f>'[1]DPP Categories'!B32</f>
        <v>Water vapour diffusion
resistance when dry</v>
      </c>
      <c r="C23" s="5">
        <v>4.3</v>
      </c>
      <c r="D23" s="4" t="s">
        <v>29</v>
      </c>
      <c r="E23" s="4"/>
      <c r="F23" s="3" t="s">
        <v>69</v>
      </c>
    </row>
    <row r="24" spans="1:6" ht="28.2" thickBot="1" x14ac:dyDescent="0.35">
      <c r="A24" s="29"/>
      <c r="B24" s="3" t="str">
        <f>'[1]DPP Categories'!B33</f>
        <v>Water vapour absorption resistance</v>
      </c>
      <c r="C24" s="5">
        <v>19</v>
      </c>
      <c r="D24" s="4" t="s">
        <v>30</v>
      </c>
      <c r="E24" s="4"/>
      <c r="F24" s="3" t="s">
        <v>69</v>
      </c>
    </row>
    <row r="25" spans="1:6" ht="15" thickBot="1" x14ac:dyDescent="0.35">
      <c r="A25" s="30"/>
      <c r="B25" s="3" t="str">
        <f>'[1]DPP Categories'!B34</f>
        <v>Standard compliance</v>
      </c>
      <c r="C25" s="5" t="s">
        <v>19</v>
      </c>
      <c r="D25" s="4" t="s">
        <v>21</v>
      </c>
      <c r="E25" s="4" t="s">
        <v>50</v>
      </c>
      <c r="F25" s="3" t="s">
        <v>67</v>
      </c>
    </row>
    <row r="26" spans="1:6" ht="28.2" customHeight="1" thickBot="1" x14ac:dyDescent="0.35">
      <c r="A26" s="28" t="s">
        <v>5</v>
      </c>
      <c r="B26" s="3" t="str">
        <f>'[1]DPP Categories'!B37</f>
        <v xml:space="preserve">Prefabrication </v>
      </c>
      <c r="C26" s="5" t="s">
        <v>19</v>
      </c>
      <c r="D26" s="4" t="s">
        <v>21</v>
      </c>
      <c r="E26" s="4" t="s">
        <v>50</v>
      </c>
      <c r="F26" s="3" t="s">
        <v>73</v>
      </c>
    </row>
    <row r="27" spans="1:6" ht="15" thickBot="1" x14ac:dyDescent="0.35">
      <c r="A27" s="29"/>
      <c r="B27" s="3" t="str">
        <f>'[1]DPP Categories'!B38</f>
        <v>Prefabrication factor</v>
      </c>
      <c r="C27" s="5"/>
      <c r="D27" s="4" t="s">
        <v>31</v>
      </c>
      <c r="E27" s="4" t="s">
        <v>51</v>
      </c>
      <c r="F27" s="3" t="s">
        <v>74</v>
      </c>
    </row>
    <row r="28" spans="1:6" ht="15" customHeight="1" thickBot="1" x14ac:dyDescent="0.35">
      <c r="A28" s="29"/>
      <c r="B28" s="3" t="str">
        <f>'[1]DPP Categories'!B39</f>
        <v>Deconstructability score</v>
      </c>
      <c r="C28" s="5"/>
      <c r="D28" s="4" t="s">
        <v>31</v>
      </c>
      <c r="E28" s="4" t="s">
        <v>52</v>
      </c>
      <c r="F28" s="3" t="s">
        <v>74</v>
      </c>
    </row>
    <row r="29" spans="1:6" ht="15" thickBot="1" x14ac:dyDescent="0.35">
      <c r="A29" s="29"/>
      <c r="B29" s="3" t="str">
        <f>'[1]DPP Categories'!B40</f>
        <v>Recycling potential</v>
      </c>
      <c r="C29" s="5"/>
      <c r="D29" s="4" t="s">
        <v>32</v>
      </c>
      <c r="E29" s="4" t="s">
        <v>53</v>
      </c>
      <c r="F29" s="3" t="s">
        <v>75</v>
      </c>
    </row>
    <row r="30" spans="1:6" ht="15" thickBot="1" x14ac:dyDescent="0.35">
      <c r="A30" s="29"/>
      <c r="B30" s="3" t="str">
        <f>'[1]DPP Categories'!B41</f>
        <v xml:space="preserve">Reusability </v>
      </c>
      <c r="C30" s="5"/>
      <c r="D30" s="4" t="s">
        <v>21</v>
      </c>
      <c r="E30" s="4" t="s">
        <v>50</v>
      </c>
      <c r="F30" s="3" t="s">
        <v>70</v>
      </c>
    </row>
    <row r="31" spans="1:6" ht="15" thickBot="1" x14ac:dyDescent="0.35">
      <c r="A31" s="29"/>
      <c r="B31" s="3" t="str">
        <f>'[1]DPP Categories'!B42</f>
        <v>Reusability potential</v>
      </c>
      <c r="C31" s="5"/>
      <c r="D31" s="4" t="s">
        <v>31</v>
      </c>
      <c r="E31" s="4" t="s">
        <v>54</v>
      </c>
      <c r="F31" s="3" t="s">
        <v>74</v>
      </c>
    </row>
    <row r="32" spans="1:6" ht="15" thickBot="1" x14ac:dyDescent="0.35">
      <c r="A32" s="29"/>
      <c r="B32" s="3" t="str">
        <f>'[1]DPP Categories'!B43</f>
        <v>Recovery score</v>
      </c>
      <c r="C32" s="5"/>
      <c r="D32" s="4" t="s">
        <v>31</v>
      </c>
      <c r="E32" s="4" t="s">
        <v>52</v>
      </c>
      <c r="F32" s="3" t="s">
        <v>74</v>
      </c>
    </row>
    <row r="33" spans="1:6" ht="15" thickBot="1" x14ac:dyDescent="0.35">
      <c r="A33" s="29"/>
      <c r="B33" s="3" t="str">
        <f>'[1]DPP Categories'!B44</f>
        <v>Disassembly potential</v>
      </c>
      <c r="C33" s="5"/>
      <c r="D33" s="4" t="s">
        <v>31</v>
      </c>
      <c r="E33" s="4" t="s">
        <v>55</v>
      </c>
      <c r="F33" s="3" t="s">
        <v>76</v>
      </c>
    </row>
    <row r="34" spans="1:6" ht="42" thickBot="1" x14ac:dyDescent="0.35">
      <c r="A34" s="29"/>
      <c r="B34" s="3" t="str">
        <f>'[1]DPP Categories'!B45</f>
        <v>Disassembly instructions</v>
      </c>
      <c r="C34" s="5" t="s">
        <v>77</v>
      </c>
      <c r="D34" s="4" t="s">
        <v>21</v>
      </c>
      <c r="E34" s="4"/>
      <c r="F34" s="3" t="s">
        <v>70</v>
      </c>
    </row>
    <row r="35" spans="1:6" ht="69.599999999999994" thickBot="1" x14ac:dyDescent="0.35">
      <c r="A35" s="29"/>
      <c r="B35" s="3" t="str">
        <f>'[1]DPP Categories'!B46</f>
        <v>Secondary use scenarios</v>
      </c>
      <c r="C35" s="5" t="s">
        <v>78</v>
      </c>
      <c r="D35" s="4" t="s">
        <v>21</v>
      </c>
      <c r="E35" s="4"/>
      <c r="F35" s="3" t="s">
        <v>70</v>
      </c>
    </row>
    <row r="36" spans="1:6" ht="42" thickBot="1" x14ac:dyDescent="0.35">
      <c r="A36" s="30"/>
      <c r="B36" s="3" t="str">
        <f>'[1]DPP Categories'!B47</f>
        <v>End-of-life recommendation</v>
      </c>
      <c r="C36" s="3" t="s">
        <v>79</v>
      </c>
      <c r="D36" s="4" t="s">
        <v>21</v>
      </c>
      <c r="E36" s="4"/>
      <c r="F36" s="3" t="s">
        <v>70</v>
      </c>
    </row>
    <row r="37" spans="1:6" ht="42" customHeight="1" thickBot="1" x14ac:dyDescent="0.35">
      <c r="A37" s="28" t="s">
        <v>6</v>
      </c>
      <c r="B37" s="3" t="str">
        <f>'[1]DPP Categories'!B48</f>
        <v xml:space="preserve">EPD </v>
      </c>
      <c r="C37" s="5" t="s">
        <v>19</v>
      </c>
      <c r="D37" s="4" t="s">
        <v>21</v>
      </c>
      <c r="E37" s="4" t="s">
        <v>50</v>
      </c>
      <c r="F37" s="5" t="s">
        <v>81</v>
      </c>
    </row>
    <row r="38" spans="1:6" ht="77.400000000000006" customHeight="1" thickBot="1" x14ac:dyDescent="0.35">
      <c r="A38" s="29"/>
      <c r="B38" s="3" t="str">
        <f>'[1]DPP Categories'!B49</f>
        <v>Link EPD</v>
      </c>
      <c r="C38" s="9" t="s">
        <v>80</v>
      </c>
      <c r="D38" s="4" t="s">
        <v>33</v>
      </c>
      <c r="E38" s="4" t="s">
        <v>21</v>
      </c>
      <c r="F38" s="5" t="s">
        <v>81</v>
      </c>
    </row>
    <row r="39" spans="1:6" ht="42" customHeight="1" thickBot="1" x14ac:dyDescent="0.35">
      <c r="A39" s="29"/>
      <c r="B39" s="3" t="str">
        <f>'[1]DPP Categories'!B50</f>
        <v>Global Warming Potential (GWP)</v>
      </c>
      <c r="C39" s="5"/>
      <c r="D39" s="4" t="s">
        <v>34</v>
      </c>
      <c r="E39" s="4"/>
      <c r="F39" s="3"/>
    </row>
    <row r="40" spans="1:6" ht="28.2" thickBot="1" x14ac:dyDescent="0.35">
      <c r="A40" s="29"/>
      <c r="B40" s="3" t="str">
        <f>'[1]DPP Categories'!B51</f>
        <v>Primary Energy Intensity (PEI) Renewable</v>
      </c>
      <c r="C40" s="5"/>
      <c r="D40" s="4" t="s">
        <v>35</v>
      </c>
      <c r="E40" s="4"/>
      <c r="F40" s="3"/>
    </row>
    <row r="41" spans="1:6" ht="28.2" customHeight="1" thickBot="1" x14ac:dyDescent="0.35">
      <c r="A41" s="29"/>
      <c r="B41" s="3" t="str">
        <f>'[1]DPP Categories'!B52</f>
        <v>Primary Energy Intensity (PEI) Non-renewable</v>
      </c>
      <c r="C41" s="5"/>
      <c r="D41" s="4" t="s">
        <v>35</v>
      </c>
      <c r="E41" s="4"/>
      <c r="F41" s="3"/>
    </row>
    <row r="42" spans="1:6" ht="15" thickBot="1" x14ac:dyDescent="0.35">
      <c r="A42" s="29"/>
      <c r="B42" s="3" t="str">
        <f>'[1]DPP Categories'!B53</f>
        <v>Acidification Potential (AP)</v>
      </c>
      <c r="C42" s="5"/>
      <c r="D42" s="4" t="s">
        <v>36</v>
      </c>
      <c r="E42" s="4"/>
      <c r="F42" s="3"/>
    </row>
    <row r="43" spans="1:6" ht="28.2" thickBot="1" x14ac:dyDescent="0.35">
      <c r="A43" s="29"/>
      <c r="B43" s="3" t="str">
        <f>'[1]DPP Categories'!B54</f>
        <v>Embodied carbon</v>
      </c>
      <c r="C43" s="5"/>
      <c r="D43" s="4" t="s">
        <v>34</v>
      </c>
      <c r="E43" s="4"/>
      <c r="F43" s="3"/>
    </row>
    <row r="44" spans="1:6" ht="28.2" thickBot="1" x14ac:dyDescent="0.35">
      <c r="A44" s="29"/>
      <c r="B44" s="3" t="str">
        <f>'[1]DPP Categories'!B55</f>
        <v>Biogenic carbon storage</v>
      </c>
      <c r="C44" s="5"/>
      <c r="D44" s="4" t="s">
        <v>34</v>
      </c>
      <c r="E44" s="4"/>
      <c r="F44" s="3"/>
    </row>
    <row r="45" spans="1:6" ht="28.2" thickBot="1" x14ac:dyDescent="0.35">
      <c r="A45" s="29"/>
      <c r="B45" s="3" t="str">
        <f>'[1]DPP Categories'!B56</f>
        <v>End-of-life emissions</v>
      </c>
      <c r="C45" s="5"/>
      <c r="D45" s="4" t="s">
        <v>34</v>
      </c>
      <c r="E45" s="4"/>
      <c r="F45" s="3"/>
    </row>
    <row r="46" spans="1:6" ht="15" thickBot="1" x14ac:dyDescent="0.35">
      <c r="A46" s="29"/>
      <c r="B46" s="3" t="str">
        <f>'[1]DPP Categories'!B57</f>
        <v>Circularity index</v>
      </c>
      <c r="C46" s="5"/>
      <c r="D46" s="4" t="s">
        <v>32</v>
      </c>
      <c r="E46" s="4" t="s">
        <v>56</v>
      </c>
      <c r="F46" s="3" t="s">
        <v>76</v>
      </c>
    </row>
    <row r="47" spans="1:6" ht="28.2" thickBot="1" x14ac:dyDescent="0.35">
      <c r="A47" s="29"/>
      <c r="B47" s="3" t="str">
        <f>'[1]DPP Categories'!B58</f>
        <v>Normalized environmental performance</v>
      </c>
      <c r="C47" s="5"/>
      <c r="D47" s="4" t="s">
        <v>31</v>
      </c>
      <c r="E47" s="4" t="s">
        <v>52</v>
      </c>
      <c r="F47" s="3" t="s">
        <v>74</v>
      </c>
    </row>
    <row r="48" spans="1:6" ht="15" thickBot="1" x14ac:dyDescent="0.35">
      <c r="A48" s="29"/>
      <c r="B48" s="3" t="str">
        <f>'[1]DPP Categories'!B59</f>
        <v>Secondary life weighting</v>
      </c>
      <c r="C48" s="5"/>
      <c r="D48" s="4" t="s">
        <v>31</v>
      </c>
      <c r="E48" s="4" t="s">
        <v>52</v>
      </c>
      <c r="F48" s="3" t="s">
        <v>74</v>
      </c>
    </row>
    <row r="49" spans="1:6" ht="15" thickBot="1" x14ac:dyDescent="0.35">
      <c r="A49" s="30"/>
      <c r="B49" s="3" t="str">
        <f>'[1]DPP Categories'!B60</f>
        <v>Environmental score</v>
      </c>
      <c r="C49" s="5"/>
      <c r="D49" s="4" t="s">
        <v>31</v>
      </c>
      <c r="E49" s="4" t="s">
        <v>52</v>
      </c>
      <c r="F49" s="3" t="s">
        <v>74</v>
      </c>
    </row>
    <row r="50" spans="1:6" ht="17.399999999999999" customHeight="1" thickBot="1" x14ac:dyDescent="0.35">
      <c r="A50" s="28" t="s">
        <v>7</v>
      </c>
      <c r="B50" s="3" t="str">
        <f>'[1]DPP Categories'!B61</f>
        <v>Service life</v>
      </c>
      <c r="C50" s="5">
        <v>100</v>
      </c>
      <c r="D50" s="4" t="s">
        <v>37</v>
      </c>
      <c r="E50" s="4"/>
      <c r="F50" s="3" t="s">
        <v>69</v>
      </c>
    </row>
    <row r="51" spans="1:6" ht="16.2" customHeight="1" thickBot="1" x14ac:dyDescent="0.35">
      <c r="A51" s="29"/>
      <c r="B51" s="3" t="str">
        <f>'[1]DPP Categories'!B63</f>
        <v>Soursing distance</v>
      </c>
      <c r="C51" s="5" t="s">
        <v>128</v>
      </c>
      <c r="D51" s="4" t="s">
        <v>44</v>
      </c>
      <c r="E51" s="4"/>
      <c r="F51" s="5" t="s">
        <v>81</v>
      </c>
    </row>
    <row r="52" spans="1:6" ht="15" thickBot="1" x14ac:dyDescent="0.35">
      <c r="A52" s="29"/>
      <c r="B52" s="3" t="str">
        <f>'[1]DPP Categories'!B64</f>
        <v>Warranty</v>
      </c>
      <c r="C52" s="5" t="s">
        <v>57</v>
      </c>
      <c r="D52" s="4" t="s">
        <v>21</v>
      </c>
      <c r="E52" s="4" t="s">
        <v>50</v>
      </c>
      <c r="F52" s="5" t="s">
        <v>81</v>
      </c>
    </row>
    <row r="53" spans="1:6" ht="15" thickBot="1" x14ac:dyDescent="0.35">
      <c r="A53" s="30"/>
      <c r="B53" s="3" t="str">
        <f>'[1]DPP Categories'!B66</f>
        <v>Update history</v>
      </c>
      <c r="C53" s="5"/>
      <c r="D53" s="4" t="s">
        <v>38</v>
      </c>
      <c r="E53" s="4" t="s">
        <v>21</v>
      </c>
      <c r="F53" s="3"/>
    </row>
    <row r="54" spans="1:6" ht="15" customHeight="1" thickBot="1" x14ac:dyDescent="0.35">
      <c r="A54" s="28" t="s">
        <v>8</v>
      </c>
      <c r="B54" s="3" t="str">
        <f>'[1]DPP Categories'!B67</f>
        <v xml:space="preserve">HPD </v>
      </c>
      <c r="C54" s="5" t="s">
        <v>57</v>
      </c>
      <c r="D54" s="4" t="s">
        <v>21</v>
      </c>
      <c r="E54" s="4" t="s">
        <v>50</v>
      </c>
      <c r="F54" s="5" t="s">
        <v>81</v>
      </c>
    </row>
    <row r="55" spans="1:6" ht="15" thickBot="1" x14ac:dyDescent="0.35">
      <c r="A55" s="29"/>
      <c r="B55" s="3" t="str">
        <f>'[1]DPP Categories'!B68</f>
        <v>Link HPD</v>
      </c>
      <c r="C55" s="4" t="s">
        <v>21</v>
      </c>
      <c r="D55" s="4" t="s">
        <v>33</v>
      </c>
      <c r="E55" s="4" t="s">
        <v>21</v>
      </c>
      <c r="F55" s="5" t="s">
        <v>81</v>
      </c>
    </row>
    <row r="56" spans="1:6" ht="28.2" thickBot="1" x14ac:dyDescent="0.35">
      <c r="A56" s="29"/>
      <c r="B56" s="3" t="str">
        <f>'[1]DPP Categories'!B69</f>
        <v>Hazard classification</v>
      </c>
      <c r="C56" s="3" t="s">
        <v>58</v>
      </c>
      <c r="D56" s="4" t="s">
        <v>21</v>
      </c>
      <c r="E56" s="4" t="s">
        <v>65</v>
      </c>
      <c r="F56" s="3" t="s">
        <v>82</v>
      </c>
    </row>
    <row r="57" spans="1:6" ht="28.2" thickBot="1" x14ac:dyDescent="0.35">
      <c r="A57" s="29"/>
      <c r="B57" s="3" t="str">
        <f>'[1]DPP Categories'!B70</f>
        <v>PM</v>
      </c>
      <c r="C57" s="5"/>
      <c r="D57" s="5" t="s">
        <v>39</v>
      </c>
      <c r="E57" s="4"/>
      <c r="F57" s="3"/>
    </row>
    <row r="58" spans="1:6" ht="31.2" customHeight="1" thickBot="1" x14ac:dyDescent="0.35">
      <c r="A58" s="29"/>
      <c r="B58" s="3" t="str">
        <f>'[1]DPP Categories'!B71</f>
        <v>IRP</v>
      </c>
      <c r="C58" s="5"/>
      <c r="D58" s="5" t="s">
        <v>40</v>
      </c>
      <c r="E58" s="4"/>
      <c r="F58" s="3"/>
    </row>
    <row r="59" spans="1:6" ht="28.2" thickBot="1" x14ac:dyDescent="0.35">
      <c r="A59" s="29"/>
      <c r="B59" s="3" t="str">
        <f>'[1]DPP Categories'!B72</f>
        <v>ETP-fw</v>
      </c>
      <c r="C59" s="5"/>
      <c r="D59" s="5" t="s">
        <v>41</v>
      </c>
      <c r="E59" s="4"/>
      <c r="F59" s="3"/>
    </row>
    <row r="60" spans="1:6" ht="43.8" customHeight="1" thickBot="1" x14ac:dyDescent="0.35">
      <c r="A60" s="29"/>
      <c r="B60" s="3" t="str">
        <f>'[1]DPP Categories'!B73</f>
        <v>HTP-c</v>
      </c>
      <c r="C60" s="5"/>
      <c r="D60" s="5" t="s">
        <v>42</v>
      </c>
      <c r="E60" s="4"/>
      <c r="F60" s="3"/>
    </row>
    <row r="61" spans="1:6" ht="43.8" customHeight="1" thickBot="1" x14ac:dyDescent="0.35">
      <c r="A61" s="29"/>
      <c r="B61" s="3" t="str">
        <f>'[1]DPP Categories'!B74</f>
        <v>HTP-nc</v>
      </c>
      <c r="C61" s="5"/>
      <c r="D61" s="5" t="s">
        <v>42</v>
      </c>
      <c r="E61" s="4"/>
      <c r="F61" s="3"/>
    </row>
    <row r="62" spans="1:6" ht="30.6" customHeight="1" thickBot="1" x14ac:dyDescent="0.35">
      <c r="A62" s="29"/>
      <c r="B62" s="3" t="str">
        <f>'[1]DPP Categories'!B75</f>
        <v>SQP</v>
      </c>
      <c r="C62" s="5"/>
      <c r="D62" s="4" t="s">
        <v>21</v>
      </c>
      <c r="E62" s="4"/>
      <c r="F62" s="3"/>
    </row>
    <row r="63" spans="1:6" ht="15" thickBot="1" x14ac:dyDescent="0.35">
      <c r="A63" s="29"/>
      <c r="B63" s="3" t="str">
        <f>'[1]DPP Categories'!B76</f>
        <v>Toxicity</v>
      </c>
      <c r="C63" s="5" t="s">
        <v>57</v>
      </c>
      <c r="D63" s="4" t="s">
        <v>21</v>
      </c>
      <c r="E63" s="4" t="s">
        <v>50</v>
      </c>
      <c r="F63" s="3" t="s">
        <v>69</v>
      </c>
    </row>
    <row r="64" spans="1:6" ht="28.2" thickBot="1" x14ac:dyDescent="0.35">
      <c r="A64" s="29"/>
      <c r="B64" s="3" t="str">
        <f>'[1]DPP Categories'!B77</f>
        <v>Class</v>
      </c>
      <c r="C64" s="7" t="s">
        <v>59</v>
      </c>
      <c r="D64" s="4" t="s">
        <v>21</v>
      </c>
      <c r="E64" s="4"/>
      <c r="F64" s="3" t="s">
        <v>71</v>
      </c>
    </row>
    <row r="65" spans="1:6" ht="15" thickBot="1" x14ac:dyDescent="0.35">
      <c r="A65" s="29"/>
      <c r="B65" s="3" t="str">
        <f>'[1]DPP Categories'!B78</f>
        <v>s-subclass</v>
      </c>
      <c r="C65" s="7" t="s">
        <v>60</v>
      </c>
      <c r="D65" s="4" t="s">
        <v>21</v>
      </c>
      <c r="E65" s="4"/>
      <c r="F65" s="3" t="s">
        <v>71</v>
      </c>
    </row>
    <row r="66" spans="1:6" ht="28.2" thickBot="1" x14ac:dyDescent="0.35">
      <c r="A66" s="29"/>
      <c r="B66" s="3" t="str">
        <f>'[1]DPP Categories'!B79</f>
        <v>d_subclass</v>
      </c>
      <c r="C66" s="7" t="s">
        <v>61</v>
      </c>
      <c r="D66" s="4" t="s">
        <v>21</v>
      </c>
      <c r="E66" s="4"/>
      <c r="F66" s="3" t="s">
        <v>71</v>
      </c>
    </row>
    <row r="67" spans="1:6" ht="15" thickBot="1" x14ac:dyDescent="0.35">
      <c r="A67" s="29"/>
      <c r="B67" s="3" t="str">
        <f>'[1]DPP Categories'!B80</f>
        <v>Fire resistance</v>
      </c>
      <c r="C67" s="7" t="s">
        <v>62</v>
      </c>
      <c r="D67" s="4" t="s">
        <v>21</v>
      </c>
      <c r="E67" s="4"/>
      <c r="F67" s="3" t="s">
        <v>71</v>
      </c>
    </row>
    <row r="68" spans="1:6" ht="15" thickBot="1" x14ac:dyDescent="0.35">
      <c r="A68" s="29"/>
      <c r="B68" s="3" t="str">
        <f>'[1]DPP Categories'!B81</f>
        <v xml:space="preserve">Coatings </v>
      </c>
      <c r="C68" s="7" t="s">
        <v>19</v>
      </c>
      <c r="D68" s="4" t="s">
        <v>21</v>
      </c>
      <c r="E68" s="4" t="s">
        <v>50</v>
      </c>
      <c r="F68" s="3" t="s">
        <v>69</v>
      </c>
    </row>
    <row r="69" spans="1:6" ht="42" thickBot="1" x14ac:dyDescent="0.35">
      <c r="A69" s="29"/>
      <c r="B69" s="3" t="str">
        <f>'[1]DPP Categories'!B82</f>
        <v>Coatings or treatments</v>
      </c>
      <c r="C69" s="3" t="s">
        <v>63</v>
      </c>
      <c r="D69" s="4" t="s">
        <v>21</v>
      </c>
      <c r="E69" s="4"/>
      <c r="F69" s="3" t="s">
        <v>69</v>
      </c>
    </row>
    <row r="70" spans="1:6" ht="42" thickBot="1" x14ac:dyDescent="0.35">
      <c r="A70" s="30"/>
      <c r="B70" s="3" t="str">
        <f>'[1]DPP Categories'!B84</f>
        <v>Compliance certificates</v>
      </c>
      <c r="C70" s="5" t="s">
        <v>19</v>
      </c>
      <c r="D70" s="4" t="s">
        <v>21</v>
      </c>
      <c r="E70" s="4" t="s">
        <v>50</v>
      </c>
      <c r="F70" s="3" t="s">
        <v>84</v>
      </c>
    </row>
    <row r="71" spans="1:6" ht="28.2" thickBot="1" x14ac:dyDescent="0.35">
      <c r="A71" s="28" t="s">
        <v>9</v>
      </c>
      <c r="B71" s="3" t="str">
        <f>'[1]DPP Categories'!B87</f>
        <v>Material perception &amp; sensory qualities</v>
      </c>
      <c r="C71" s="5"/>
      <c r="D71" s="4"/>
      <c r="E71" s="4"/>
      <c r="F71" s="3"/>
    </row>
    <row r="72" spans="1:6" ht="19.2" customHeight="1" thickBot="1" x14ac:dyDescent="0.35">
      <c r="A72" s="29"/>
      <c r="B72" s="3" t="str">
        <f>'[1]DPP Categories'!B88</f>
        <v>Cultural or regional relevance</v>
      </c>
      <c r="C72" s="5"/>
      <c r="D72" s="4"/>
      <c r="E72" s="4"/>
      <c r="F72" s="3"/>
    </row>
    <row r="73" spans="1:6" ht="15" thickBot="1" x14ac:dyDescent="0.35">
      <c r="A73" s="29"/>
      <c r="B73" s="3" t="str">
        <f>'[1]DPP Categories'!B89</f>
        <v>Aesthetic evolution</v>
      </c>
      <c r="C73" s="5"/>
      <c r="D73" s="4"/>
      <c r="E73" s="4"/>
      <c r="F73" s="3"/>
    </row>
    <row r="74" spans="1:6" ht="15" thickBot="1" x14ac:dyDescent="0.35">
      <c r="A74" s="29"/>
      <c r="B74" s="3" t="str">
        <f>'[1]DPP Categories'!B93</f>
        <v>Material Comfort</v>
      </c>
      <c r="C74" s="5"/>
      <c r="D74" s="4"/>
      <c r="E74" s="4"/>
      <c r="F74" s="3"/>
    </row>
    <row r="75" spans="1:6" ht="33.6" customHeight="1" thickBot="1" x14ac:dyDescent="0.35">
      <c r="A75" s="30"/>
      <c r="B75" s="3" t="str">
        <f>'[1]DPP Categories'!B94</f>
        <v>Craft or community engagement</v>
      </c>
      <c r="C75" s="5"/>
      <c r="D75" s="4"/>
      <c r="E75" s="4"/>
      <c r="F75" s="3"/>
    </row>
    <row r="76" spans="1:6" ht="32.4" customHeight="1" thickBot="1" x14ac:dyDescent="0.35">
      <c r="A76" s="28" t="s">
        <v>10</v>
      </c>
      <c r="B76" s="3" t="str">
        <f>'[1]DPP Categories'!B95</f>
        <v>Material unit cost</v>
      </c>
      <c r="C76" s="5">
        <v>3.8</v>
      </c>
      <c r="D76" s="3" t="s">
        <v>43</v>
      </c>
      <c r="E76" s="4" t="s">
        <v>64</v>
      </c>
      <c r="F76" s="3" t="s">
        <v>83</v>
      </c>
    </row>
    <row r="77" spans="1:6" ht="15" thickBot="1" x14ac:dyDescent="0.35">
      <c r="A77" s="29"/>
      <c r="B77" s="3" t="str">
        <f>'[1]DPP Categories'!B98</f>
        <v>Economic circularity benefit</v>
      </c>
      <c r="C77" s="5"/>
      <c r="D77" s="4"/>
      <c r="E77" s="4"/>
      <c r="F77" s="3"/>
    </row>
    <row r="78" spans="1:6" ht="15" thickBot="1" x14ac:dyDescent="0.35">
      <c r="A78" s="30"/>
      <c r="B78" s="3" t="str">
        <f>'[1]DPP Categories'!B99</f>
        <v>Replacement cost</v>
      </c>
      <c r="C78" s="5"/>
      <c r="D78" s="4"/>
      <c r="E78" s="4"/>
      <c r="F78" s="3"/>
    </row>
    <row r="94" ht="14.4" customHeight="1" x14ac:dyDescent="0.3"/>
  </sheetData>
  <mergeCells count="8">
    <mergeCell ref="A76:A78"/>
    <mergeCell ref="A71:A75"/>
    <mergeCell ref="A2:A9"/>
    <mergeCell ref="A10:A25"/>
    <mergeCell ref="A26:A36"/>
    <mergeCell ref="A37:A49"/>
    <mergeCell ref="A50:A53"/>
    <mergeCell ref="A54:A70"/>
  </mergeCells>
  <hyperlinks>
    <hyperlink ref="C38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workbookViewId="0">
      <selection activeCell="G75" sqref="G75"/>
    </sheetView>
  </sheetViews>
  <sheetFormatPr baseColWidth="10" defaultRowHeight="14.4" x14ac:dyDescent="0.3"/>
  <cols>
    <col min="1" max="1" width="20.5546875" customWidth="1"/>
    <col min="2" max="2" width="21.6640625" customWidth="1"/>
    <col min="3" max="4" width="15.33203125" customWidth="1"/>
    <col min="5" max="5" width="17.21875" customWidth="1"/>
    <col min="6" max="6" width="16.6640625" style="8" customWidth="1"/>
    <col min="7" max="7" width="14.88671875" customWidth="1"/>
    <col min="8" max="8" width="20.6640625" customWidth="1"/>
  </cols>
  <sheetData>
    <row r="1" spans="1:8" ht="42" thickBot="1" x14ac:dyDescent="0.35">
      <c r="A1" s="1" t="s">
        <v>0</v>
      </c>
      <c r="B1" s="2" t="s">
        <v>1</v>
      </c>
      <c r="C1" s="2" t="s">
        <v>85</v>
      </c>
      <c r="D1" s="2" t="s">
        <v>86</v>
      </c>
      <c r="E1" s="2" t="s">
        <v>87</v>
      </c>
      <c r="F1" s="2" t="s">
        <v>88</v>
      </c>
      <c r="G1" s="1" t="s">
        <v>89</v>
      </c>
      <c r="H1" s="2" t="s">
        <v>90</v>
      </c>
    </row>
    <row r="2" spans="1:8" ht="32.4" customHeight="1" thickBot="1" x14ac:dyDescent="0.35">
      <c r="A2" s="28" t="s">
        <v>2</v>
      </c>
      <c r="B2" s="3" t="str">
        <f>+'1 Data Material DPP'!B2</f>
        <v>Product Name</v>
      </c>
      <c r="C2" s="4" t="str">
        <f>IF('1 Data Material DPP'!C2&lt;&gt;"","Yes","No")</f>
        <v>Yes</v>
      </c>
      <c r="D2" s="4" t="str">
        <f>+IF('1 Data Material DPP'!E2="—","—",IF('1 Data Material DPP'!E2&lt;&gt;"","Yes","No"))</f>
        <v>—</v>
      </c>
      <c r="E2" s="3" t="str">
        <f>+'1 Data Material DPP'!F2</f>
        <v>Technical data sheet 06/2025</v>
      </c>
      <c r="F2" s="4" t="str">
        <f>IF(AND(C2="Yes",OR(D2="Yes",D2="—")),"No","Yes")</f>
        <v>No</v>
      </c>
      <c r="G2" s="4"/>
      <c r="H2" s="3"/>
    </row>
    <row r="3" spans="1:8" ht="28.2" thickBot="1" x14ac:dyDescent="0.35">
      <c r="A3" s="29"/>
      <c r="B3" s="3" t="str">
        <f>+'1 Data Material DPP'!B3</f>
        <v>Product ID</v>
      </c>
      <c r="C3" s="4" t="str">
        <f>IF('1 Data Material DPP'!C3&lt;&gt;"","Yes","No")</f>
        <v>Yes</v>
      </c>
      <c r="D3" s="4" t="str">
        <f>+IF('1 Data Material DPP'!E3="—","—",IF('1 Data Material DPP'!E3&lt;&gt;"","Yes","No"))</f>
        <v>—</v>
      </c>
      <c r="E3" s="3" t="str">
        <f>+'1 Data Material DPP'!F3</f>
        <v>German general type approval</v>
      </c>
      <c r="F3" s="4" t="str">
        <f t="shared" ref="F3:F66" si="0">IF(AND(C3="Yes",OR(D3="Yes",D3="—")),"No","Yes")</f>
        <v>No</v>
      </c>
      <c r="G3" s="4"/>
      <c r="H3" s="3"/>
    </row>
    <row r="4" spans="1:8" ht="15" thickBot="1" x14ac:dyDescent="0.35">
      <c r="A4" s="29"/>
      <c r="B4" s="3" t="str">
        <f>+'1 Data Material DPP'!B4</f>
        <v>Object number</v>
      </c>
      <c r="C4" s="4" t="str">
        <f>IF('1 Data Material DPP'!C4&lt;&gt;"","Yes","No")</f>
        <v>No</v>
      </c>
      <c r="D4" s="4" t="str">
        <f>+IF('1 Data Material DPP'!E4="—","—",IF('1 Data Material DPP'!E4&lt;&gt;"","Yes","No"))</f>
        <v>—</v>
      </c>
      <c r="E4" s="3" t="str">
        <f>+'1 Data Material DPP'!F4</f>
        <v>BIM parameter</v>
      </c>
      <c r="F4" s="4" t="str">
        <f t="shared" si="0"/>
        <v>Yes</v>
      </c>
      <c r="G4" s="4" t="s">
        <v>3</v>
      </c>
      <c r="H4" s="3" t="s">
        <v>91</v>
      </c>
    </row>
    <row r="5" spans="1:8" ht="15" thickBot="1" x14ac:dyDescent="0.35">
      <c r="A5" s="29"/>
      <c r="B5" s="3" t="str">
        <f>+'1 Data Material DPP'!B5</f>
        <v>Material Type</v>
      </c>
      <c r="C5" s="4" t="str">
        <f>IF('1 Data Material DPP'!C5&lt;&gt;"","Yes","No")</f>
        <v>No</v>
      </c>
      <c r="D5" s="4" t="str">
        <f>+IF('1 Data Material DPP'!E5="—","—",IF('1 Data Material DPP'!E5&lt;&gt;"","Yes","No"))</f>
        <v>—</v>
      </c>
      <c r="E5" s="3">
        <f>+'1 Data Material DPP'!F5</f>
        <v>0</v>
      </c>
      <c r="F5" s="4" t="str">
        <f t="shared" si="0"/>
        <v>Yes</v>
      </c>
      <c r="G5" s="4" t="s">
        <v>127</v>
      </c>
      <c r="H5" s="3" t="s">
        <v>91</v>
      </c>
    </row>
    <row r="6" spans="1:8" ht="28.2" thickBot="1" x14ac:dyDescent="0.35">
      <c r="A6" s="29"/>
      <c r="B6" s="3" t="str">
        <f>+'1 Data Material DPP'!B6</f>
        <v xml:space="preserve">Manufacturer </v>
      </c>
      <c r="C6" s="4" t="str">
        <f>IF('1 Data Material DPP'!C6&lt;&gt;"","Yes","No")</f>
        <v>Yes</v>
      </c>
      <c r="D6" s="4" t="str">
        <f>+IF('1 Data Material DPP'!E6="—","—",IF('1 Data Material DPP'!E6&lt;&gt;"","Yes","No"))</f>
        <v>—</v>
      </c>
      <c r="E6" s="3" t="str">
        <f>+'1 Data Material DPP'!F6</f>
        <v>German general type approval</v>
      </c>
      <c r="F6" s="4" t="str">
        <f t="shared" si="0"/>
        <v>No</v>
      </c>
      <c r="G6" s="4"/>
      <c r="H6" s="3"/>
    </row>
    <row r="7" spans="1:8" ht="15" customHeight="1" thickBot="1" x14ac:dyDescent="0.35">
      <c r="A7" s="29"/>
      <c r="B7" s="3" t="str">
        <f>+'1 Data Material DPP'!B7</f>
        <v>Traceability ID</v>
      </c>
      <c r="C7" s="4" t="str">
        <f>IF('1 Data Material DPP'!C7&lt;&gt;"","Yes","No")</f>
        <v>No</v>
      </c>
      <c r="D7" s="4" t="str">
        <f>+IF('1 Data Material DPP'!E7="—","—",IF('1 Data Material DPP'!E7&lt;&gt;"","Yes","No"))</f>
        <v>—</v>
      </c>
      <c r="E7" s="3">
        <f>+'1 Data Material DPP'!F7</f>
        <v>0</v>
      </c>
      <c r="F7" s="4" t="str">
        <f t="shared" si="0"/>
        <v>Yes</v>
      </c>
      <c r="G7" s="4" t="s">
        <v>3</v>
      </c>
      <c r="H7" s="3" t="s">
        <v>91</v>
      </c>
    </row>
    <row r="8" spans="1:8" ht="15" thickBot="1" x14ac:dyDescent="0.35">
      <c r="A8" s="29"/>
      <c r="B8" s="3" t="str">
        <f>+'1 Data Material DPP'!B8</f>
        <v>Origin</v>
      </c>
      <c r="C8" s="4" t="str">
        <f>IF('1 Data Material DPP'!C8&lt;&gt;"","Yes","No")</f>
        <v>Yes</v>
      </c>
      <c r="D8" s="4" t="str">
        <f>+IF('1 Data Material DPP'!E8="—","—",IF('1 Data Material DPP'!E8&lt;&gt;"","Yes","No"))</f>
        <v>—</v>
      </c>
      <c r="E8" s="3">
        <f>+'1 Data Material DPP'!F8</f>
        <v>0</v>
      </c>
      <c r="F8" s="4" t="str">
        <f t="shared" si="0"/>
        <v>No</v>
      </c>
      <c r="G8" s="4"/>
      <c r="H8" s="3"/>
    </row>
    <row r="9" spans="1:8" ht="28.2" thickBot="1" x14ac:dyDescent="0.35">
      <c r="A9" s="30"/>
      <c r="B9" s="3" t="str">
        <f>+'1 Data Material DPP'!B9</f>
        <v>Version number</v>
      </c>
      <c r="C9" s="4" t="str">
        <f>IF('1 Data Material DPP'!C9&lt;&gt;"","Yes","No")</f>
        <v>Yes</v>
      </c>
      <c r="D9" s="4" t="str">
        <f>+IF('1 Data Material DPP'!E9="—","—",IF('1 Data Material DPP'!E9&lt;&gt;"","Yes","No"))</f>
        <v>Yes</v>
      </c>
      <c r="E9" s="3" t="str">
        <f>+'1 Data Material DPP'!F9</f>
        <v>German general type approval</v>
      </c>
      <c r="F9" s="4" t="str">
        <f t="shared" si="0"/>
        <v>No</v>
      </c>
      <c r="G9" s="4"/>
      <c r="H9" s="3"/>
    </row>
    <row r="10" spans="1:8" ht="15" thickBot="1" x14ac:dyDescent="0.35">
      <c r="A10" s="28" t="s">
        <v>4</v>
      </c>
      <c r="B10" s="3" t="str">
        <f>+'1 Data Material DPP'!B10</f>
        <v>Material</v>
      </c>
      <c r="C10" s="4" t="str">
        <f>IF('1 Data Material DPP'!C10&lt;&gt;"","Yes","No")</f>
        <v>Yes</v>
      </c>
      <c r="D10" s="4" t="str">
        <f>+IF('1 Data Material DPP'!E10="—","—",IF('1 Data Material DPP'!E10&lt;&gt;"","Yes","No"))</f>
        <v>—</v>
      </c>
      <c r="E10" s="3" t="str">
        <f>+'1 Data Material DPP'!F10</f>
        <v>BIM parameter</v>
      </c>
      <c r="F10" s="4" t="str">
        <f t="shared" si="0"/>
        <v>No</v>
      </c>
      <c r="G10" s="4"/>
      <c r="H10" s="3"/>
    </row>
    <row r="11" spans="1:8" ht="28.2" thickBot="1" x14ac:dyDescent="0.35">
      <c r="A11" s="29"/>
      <c r="B11" s="3" t="str">
        <f>+'1 Data Material DPP'!B11</f>
        <v>Composition</v>
      </c>
      <c r="C11" s="4" t="str">
        <f>IF('1 Data Material DPP'!C11&lt;&gt;"","Yes","No")</f>
        <v>Yes</v>
      </c>
      <c r="D11" s="4" t="str">
        <f>+IF('1 Data Material DPP'!E11="—","—",IF('1 Data Material DPP'!E11&lt;&gt;"","Yes","No"))</f>
        <v>No</v>
      </c>
      <c r="E11" s="3" t="str">
        <f>+'1 Data Material DPP'!F11</f>
        <v>Technical data sheet 06/2025</v>
      </c>
      <c r="F11" s="4" t="str">
        <f t="shared" si="0"/>
        <v>Yes</v>
      </c>
      <c r="G11" s="4" t="s">
        <v>95</v>
      </c>
      <c r="H11" s="3"/>
    </row>
    <row r="12" spans="1:8" ht="28.2" thickBot="1" x14ac:dyDescent="0.35">
      <c r="A12" s="29"/>
      <c r="B12" s="3" t="str">
        <f>+'1 Data Material DPP'!B12</f>
        <v>Dimensions</v>
      </c>
      <c r="C12" s="4" t="str">
        <f>IF('1 Data Material DPP'!C12&lt;&gt;"","Yes","No")</f>
        <v>Yes</v>
      </c>
      <c r="D12" s="4" t="str">
        <f>+IF('1 Data Material DPP'!E12="—","—",IF('1 Data Material DPP'!E12&lt;&gt;"","Yes","No"))</f>
        <v>Yes</v>
      </c>
      <c r="E12" s="3" t="str">
        <f>+'1 Data Material DPP'!F12</f>
        <v>Technical data sheet 2017</v>
      </c>
      <c r="F12" s="4" t="str">
        <f t="shared" si="0"/>
        <v>No</v>
      </c>
      <c r="G12" s="4"/>
      <c r="H12" s="4"/>
    </row>
    <row r="13" spans="1:8" ht="15" thickBot="1" x14ac:dyDescent="0.35">
      <c r="A13" s="29"/>
      <c r="B13" s="3" t="str">
        <f>+'1 Data Material DPP'!B13</f>
        <v>Height</v>
      </c>
      <c r="C13" s="4" t="str">
        <f>IF('1 Data Material DPP'!C13&lt;&gt;"","Yes","No")</f>
        <v>No</v>
      </c>
      <c r="D13" s="4" t="str">
        <f>+IF('1 Data Material DPP'!E13="—","—",IF('1 Data Material DPP'!E13&lt;&gt;"","Yes","No"))</f>
        <v>No</v>
      </c>
      <c r="E13" s="3">
        <f>+'1 Data Material DPP'!F13</f>
        <v>0</v>
      </c>
      <c r="F13" s="4" t="str">
        <f t="shared" si="0"/>
        <v>Yes</v>
      </c>
      <c r="G13" s="4" t="s">
        <v>3</v>
      </c>
      <c r="H13" s="3" t="s">
        <v>92</v>
      </c>
    </row>
    <row r="14" spans="1:8" ht="15" thickBot="1" x14ac:dyDescent="0.35">
      <c r="A14" s="29"/>
      <c r="B14" s="3" t="str">
        <f>+'1 Data Material DPP'!B14</f>
        <v>Length</v>
      </c>
      <c r="C14" s="4" t="str">
        <f>IF('1 Data Material DPP'!C14&lt;&gt;"","Yes","No")</f>
        <v>No</v>
      </c>
      <c r="D14" s="4" t="str">
        <f>+IF('1 Data Material DPP'!E14="—","—",IF('1 Data Material DPP'!E14&lt;&gt;"","Yes","No"))</f>
        <v>No</v>
      </c>
      <c r="E14" s="3">
        <f>+'1 Data Material DPP'!F14</f>
        <v>0</v>
      </c>
      <c r="F14" s="4" t="str">
        <f t="shared" si="0"/>
        <v>Yes</v>
      </c>
      <c r="G14" s="4" t="s">
        <v>3</v>
      </c>
      <c r="H14" s="3" t="s">
        <v>92</v>
      </c>
    </row>
    <row r="15" spans="1:8" ht="15" thickBot="1" x14ac:dyDescent="0.35">
      <c r="A15" s="29"/>
      <c r="B15" s="3" t="str">
        <f>+'1 Data Material DPP'!B15</f>
        <v>Width</v>
      </c>
      <c r="C15" s="4" t="str">
        <f>IF('1 Data Material DPP'!C15&lt;&gt;"","Yes","No")</f>
        <v>No</v>
      </c>
      <c r="D15" s="4" t="str">
        <f>+IF('1 Data Material DPP'!E15="—","—",IF('1 Data Material DPP'!E15&lt;&gt;"","Yes","No"))</f>
        <v>No</v>
      </c>
      <c r="E15" s="3">
        <f>+'1 Data Material DPP'!F15</f>
        <v>0</v>
      </c>
      <c r="F15" s="4" t="str">
        <f t="shared" si="0"/>
        <v>Yes</v>
      </c>
      <c r="G15" s="4" t="s">
        <v>3</v>
      </c>
      <c r="H15" s="3" t="s">
        <v>92</v>
      </c>
    </row>
    <row r="16" spans="1:8" ht="28.2" customHeight="1" thickBot="1" x14ac:dyDescent="0.35">
      <c r="A16" s="29"/>
      <c r="B16" s="3" t="str">
        <f>+'1 Data Material DPP'!B16</f>
        <v>Volume</v>
      </c>
      <c r="C16" s="4" t="str">
        <f>IF('1 Data Material DPP'!C16&lt;&gt;"","Yes","No")</f>
        <v>No</v>
      </c>
      <c r="D16" s="4" t="str">
        <f>+IF('1 Data Material DPP'!E16="—","—",IF('1 Data Material DPP'!E16&lt;&gt;"","Yes","No"))</f>
        <v>No</v>
      </c>
      <c r="E16" s="3">
        <f>+'1 Data Material DPP'!F16</f>
        <v>0</v>
      </c>
      <c r="F16" s="4" t="str">
        <f t="shared" si="0"/>
        <v>Yes</v>
      </c>
      <c r="G16" s="4" t="s">
        <v>93</v>
      </c>
      <c r="H16" s="3" t="s">
        <v>94</v>
      </c>
    </row>
    <row r="17" spans="1:8" ht="15" thickBot="1" x14ac:dyDescent="0.35">
      <c r="A17" s="29"/>
      <c r="B17" s="3" t="str">
        <f>+'1 Data Material DPP'!B17</f>
        <v>Dry density</v>
      </c>
      <c r="C17" s="4" t="str">
        <f>IF('1 Data Material DPP'!C17&lt;&gt;"","Yes","No")</f>
        <v>Yes</v>
      </c>
      <c r="D17" s="4" t="str">
        <f>+IF('1 Data Material DPP'!E17="—","—",IF('1 Data Material DPP'!E17&lt;&gt;"","Yes","No"))</f>
        <v>Yes</v>
      </c>
      <c r="E17" s="3" t="str">
        <f>+'1 Data Material DPP'!F17</f>
        <v>EPD 2025</v>
      </c>
      <c r="F17" s="4" t="str">
        <f t="shared" si="0"/>
        <v>No</v>
      </c>
      <c r="G17" s="4"/>
      <c r="H17" s="3"/>
    </row>
    <row r="18" spans="1:8" ht="15" thickBot="1" x14ac:dyDescent="0.35">
      <c r="A18" s="29"/>
      <c r="B18" s="3" t="str">
        <f>+'1 Data Material DPP'!B18</f>
        <v>Equilibrium density</v>
      </c>
      <c r="C18" s="4" t="str">
        <f>IF('1 Data Material DPP'!C18&lt;&gt;"","Yes","No")</f>
        <v>Yes</v>
      </c>
      <c r="D18" s="4" t="str">
        <f>+IF('1 Data Material DPP'!E18="—","—",IF('1 Data Material DPP'!E18&lt;&gt;"","Yes","No"))</f>
        <v>Yes</v>
      </c>
      <c r="E18" s="3" t="str">
        <f>+'1 Data Material DPP'!F18</f>
        <v>EPD 2025</v>
      </c>
      <c r="F18" s="4" t="str">
        <f t="shared" si="0"/>
        <v>No</v>
      </c>
      <c r="G18" s="4"/>
      <c r="H18" s="3"/>
    </row>
    <row r="19" spans="1:8" ht="28.2" thickBot="1" x14ac:dyDescent="0.35">
      <c r="A19" s="29"/>
      <c r="B19" s="3" t="str">
        <f>+'1 Data Material DPP'!B19</f>
        <v>Weight</v>
      </c>
      <c r="C19" s="4" t="str">
        <f>IF('1 Data Material DPP'!C19&lt;&gt;"","Yes","No")</f>
        <v>No</v>
      </c>
      <c r="D19" s="4" t="str">
        <f>+IF('1 Data Material DPP'!E19="—","—",IF('1 Data Material DPP'!E19&lt;&gt;"","Yes","No"))</f>
        <v>No</v>
      </c>
      <c r="E19" s="3">
        <f>+'1 Data Material DPP'!F19</f>
        <v>0</v>
      </c>
      <c r="F19" s="4" t="str">
        <f t="shared" si="0"/>
        <v>Yes</v>
      </c>
      <c r="G19" s="4" t="s">
        <v>93</v>
      </c>
      <c r="H19" s="3" t="s">
        <v>94</v>
      </c>
    </row>
    <row r="20" spans="1:8" ht="28.2" customHeight="1" thickBot="1" x14ac:dyDescent="0.35">
      <c r="A20" s="29"/>
      <c r="B20" s="3" t="str">
        <f>+'1 Data Material DPP'!B20</f>
        <v>Compressive strength</v>
      </c>
      <c r="C20" s="4" t="str">
        <f>IF('1 Data Material DPP'!C20&lt;&gt;"","Yes","No")</f>
        <v>Yes</v>
      </c>
      <c r="D20" s="4" t="str">
        <f>+IF('1 Data Material DPP'!E20="—","—",IF('1 Data Material DPP'!E20&lt;&gt;"","Yes","No"))</f>
        <v>No</v>
      </c>
      <c r="E20" s="3" t="str">
        <f>+'1 Data Material DPP'!F20</f>
        <v xml:space="preserve">Technical data sheet 06/2025 </v>
      </c>
      <c r="F20" s="4" t="str">
        <f t="shared" si="0"/>
        <v>Yes</v>
      </c>
      <c r="G20" s="4" t="s">
        <v>95</v>
      </c>
      <c r="H20" s="3" t="s">
        <v>96</v>
      </c>
    </row>
    <row r="21" spans="1:8" ht="42" thickBot="1" x14ac:dyDescent="0.35">
      <c r="A21" s="29"/>
      <c r="B21" s="3" t="str">
        <f>+'1 Data Material DPP'!B21</f>
        <v>Shear strength</v>
      </c>
      <c r="C21" s="4" t="str">
        <f>IF('1 Data Material DPP'!C21&lt;&gt;"","Yes","No")</f>
        <v>Yes</v>
      </c>
      <c r="D21" s="4" t="str">
        <f>+IF('1 Data Material DPP'!E21="—","—",IF('1 Data Material DPP'!E21&lt;&gt;"","Yes","No"))</f>
        <v>No</v>
      </c>
      <c r="E21" s="3" t="str">
        <f>+'1 Data Material DPP'!F21</f>
        <v xml:space="preserve">Hempblock brochure </v>
      </c>
      <c r="F21" s="4" t="str">
        <f t="shared" si="0"/>
        <v>Yes</v>
      </c>
      <c r="G21" s="4" t="s">
        <v>95</v>
      </c>
      <c r="H21" s="3" t="s">
        <v>97</v>
      </c>
    </row>
    <row r="22" spans="1:8" ht="28.2" thickBot="1" x14ac:dyDescent="0.35">
      <c r="A22" s="29"/>
      <c r="B22" s="3" t="str">
        <f>+'1 Data Material DPP'!B22</f>
        <v>Water vapour diffusion
resistance when wet</v>
      </c>
      <c r="C22" s="4" t="str">
        <f>IF('1 Data Material DPP'!C22&lt;&gt;"","Yes","No")</f>
        <v>Yes</v>
      </c>
      <c r="D22" s="4" t="str">
        <f>+IF('1 Data Material DPP'!E22="—","—",IF('1 Data Material DPP'!E22&lt;&gt;"","Yes","No"))</f>
        <v>No</v>
      </c>
      <c r="E22" s="3" t="str">
        <f>+'1 Data Material DPP'!F22</f>
        <v>Technical data sheet 06/2025</v>
      </c>
      <c r="F22" s="4" t="str">
        <f t="shared" si="0"/>
        <v>Yes</v>
      </c>
      <c r="G22" s="4" t="s">
        <v>95</v>
      </c>
      <c r="H22" s="3"/>
    </row>
    <row r="23" spans="1:8" ht="28.2" thickBot="1" x14ac:dyDescent="0.35">
      <c r="A23" s="29"/>
      <c r="B23" s="3" t="str">
        <f>+'1 Data Material DPP'!B23</f>
        <v>Water vapour diffusion
resistance when dry</v>
      </c>
      <c r="C23" s="4" t="str">
        <f>IF('1 Data Material DPP'!C23&lt;&gt;"","Yes","No")</f>
        <v>Yes</v>
      </c>
      <c r="D23" s="4" t="str">
        <f>+IF('1 Data Material DPP'!E23="—","—",IF('1 Data Material DPP'!E23&lt;&gt;"","Yes","No"))</f>
        <v>No</v>
      </c>
      <c r="E23" s="3" t="str">
        <f>+'1 Data Material DPP'!F23</f>
        <v>Technical data sheet 06/2025</v>
      </c>
      <c r="F23" s="4" t="str">
        <f t="shared" si="0"/>
        <v>Yes</v>
      </c>
      <c r="G23" s="4" t="s">
        <v>95</v>
      </c>
      <c r="H23" s="3"/>
    </row>
    <row r="24" spans="1:8" ht="28.2" thickBot="1" x14ac:dyDescent="0.35">
      <c r="A24" s="29"/>
      <c r="B24" s="3" t="str">
        <f>+'1 Data Material DPP'!B24</f>
        <v>Water vapour absorption resistance</v>
      </c>
      <c r="C24" s="4" t="str">
        <f>IF('1 Data Material DPP'!C24&lt;&gt;"","Yes","No")</f>
        <v>Yes</v>
      </c>
      <c r="D24" s="4" t="str">
        <f>+IF('1 Data Material DPP'!E24="—","—",IF('1 Data Material DPP'!E24&lt;&gt;"","Yes","No"))</f>
        <v>No</v>
      </c>
      <c r="E24" s="3" t="str">
        <f>+'1 Data Material DPP'!F24</f>
        <v>Technical data sheet 06/2025</v>
      </c>
      <c r="F24" s="4" t="str">
        <f t="shared" si="0"/>
        <v>Yes</v>
      </c>
      <c r="G24" s="4" t="s">
        <v>95</v>
      </c>
      <c r="H24" s="3"/>
    </row>
    <row r="25" spans="1:8" ht="28.2" thickBot="1" x14ac:dyDescent="0.35">
      <c r="A25" s="30"/>
      <c r="B25" s="3" t="str">
        <f>+'1 Data Material DPP'!B25</f>
        <v>Standard compliance</v>
      </c>
      <c r="C25" s="4" t="str">
        <f>IF('1 Data Material DPP'!C25&lt;&gt;"","Yes","No")</f>
        <v>Yes</v>
      </c>
      <c r="D25" s="4" t="str">
        <f>+IF('1 Data Material DPP'!E25="—","—",IF('1 Data Material DPP'!E25&lt;&gt;"","Yes","No"))</f>
        <v>Yes</v>
      </c>
      <c r="E25" s="3" t="str">
        <f>+'1 Data Material DPP'!F25</f>
        <v>German general type approval</v>
      </c>
      <c r="F25" s="4" t="str">
        <f t="shared" si="0"/>
        <v>No</v>
      </c>
      <c r="G25" s="4"/>
      <c r="H25" s="3"/>
    </row>
    <row r="26" spans="1:8" ht="28.2" thickBot="1" x14ac:dyDescent="0.35">
      <c r="A26" s="28" t="s">
        <v>5</v>
      </c>
      <c r="B26" s="3" t="str">
        <f>+'1 Data Material DPP'!B26</f>
        <v xml:space="preserve">Prefabrication </v>
      </c>
      <c r="C26" s="4" t="str">
        <f>IF('1 Data Material DPP'!C26&lt;&gt;"","Yes","No")</f>
        <v>Yes</v>
      </c>
      <c r="D26" s="4" t="str">
        <f>+IF('1 Data Material DPP'!E26="—","—",IF('1 Data Material DPP'!E26&lt;&gt;"","Yes","No"))</f>
        <v>Yes</v>
      </c>
      <c r="E26" s="3" t="str">
        <f>+'1 Data Material DPP'!F26</f>
        <v>Report for KBOB list</v>
      </c>
      <c r="F26" s="4" t="str">
        <f t="shared" si="0"/>
        <v>No</v>
      </c>
      <c r="G26" s="4"/>
      <c r="H26" s="3"/>
    </row>
    <row r="27" spans="1:8" ht="28.2" thickBot="1" x14ac:dyDescent="0.35">
      <c r="A27" s="29"/>
      <c r="B27" s="3" t="str">
        <f>+'1 Data Material DPP'!B27</f>
        <v>Prefabrication factor</v>
      </c>
      <c r="C27" s="4" t="str">
        <f>IF('1 Data Material DPP'!C27&lt;&gt;"","Yes","No")</f>
        <v>No</v>
      </c>
      <c r="D27" s="4" t="str">
        <f>+IF('1 Data Material DPP'!E27="—","—",IF('1 Data Material DPP'!E27&lt;&gt;"","Yes","No"))</f>
        <v>Yes</v>
      </c>
      <c r="E27" s="3" t="str">
        <f>+'1 Data Material DPP'!F27</f>
        <v>Range Atta et al. 2021</v>
      </c>
      <c r="F27" s="4" t="str">
        <f t="shared" si="0"/>
        <v>Yes</v>
      </c>
      <c r="G27" s="4" t="s">
        <v>98</v>
      </c>
      <c r="H27" s="3" t="s">
        <v>99</v>
      </c>
    </row>
    <row r="28" spans="1:8" ht="28.2" customHeight="1" thickBot="1" x14ac:dyDescent="0.35">
      <c r="A28" s="29"/>
      <c r="B28" s="3" t="str">
        <f>+'1 Data Material DPP'!B28</f>
        <v>Deconstructability score</v>
      </c>
      <c r="C28" s="4" t="str">
        <f>IF('1 Data Material DPP'!C28&lt;&gt;"","Yes","No")</f>
        <v>No</v>
      </c>
      <c r="D28" s="4" t="str">
        <f>+IF('1 Data Material DPP'!E28="—","—",IF('1 Data Material DPP'!E28&lt;&gt;"","Yes","No"))</f>
        <v>Yes</v>
      </c>
      <c r="E28" s="3" t="str">
        <f>+'1 Data Material DPP'!F28</f>
        <v>Range Atta et al. 2021</v>
      </c>
      <c r="F28" s="4" t="str">
        <f t="shared" si="0"/>
        <v>Yes</v>
      </c>
      <c r="G28" s="4" t="s">
        <v>93</v>
      </c>
      <c r="H28" s="3" t="s">
        <v>100</v>
      </c>
    </row>
    <row r="29" spans="1:8" ht="28.2" thickBot="1" x14ac:dyDescent="0.35">
      <c r="A29" s="29"/>
      <c r="B29" s="3" t="str">
        <f>+'1 Data Material DPP'!B29</f>
        <v>Recycling potential</v>
      </c>
      <c r="C29" s="4" t="str">
        <f>IF('1 Data Material DPP'!C29&lt;&gt;"","Yes","No")</f>
        <v>No</v>
      </c>
      <c r="D29" s="4" t="str">
        <f>+IF('1 Data Material DPP'!E29="—","—",IF('1 Data Material DPP'!E29&lt;&gt;"","Yes","No"))</f>
        <v>Yes</v>
      </c>
      <c r="E29" s="3" t="str">
        <f>+'1 Data Material DPP'!F29</f>
        <v>Technical data sheet 2017</v>
      </c>
      <c r="F29" s="4" t="str">
        <f t="shared" si="0"/>
        <v>Yes</v>
      </c>
      <c r="G29" s="4"/>
      <c r="H29" s="3" t="s">
        <v>101</v>
      </c>
    </row>
    <row r="30" spans="1:8" ht="15" thickBot="1" x14ac:dyDescent="0.35">
      <c r="A30" s="29"/>
      <c r="B30" s="3" t="str">
        <f>+'1 Data Material DPP'!B30</f>
        <v xml:space="preserve">Reusability </v>
      </c>
      <c r="C30" s="4" t="str">
        <f>IF('1 Data Material DPP'!C30&lt;&gt;"","Yes","No")</f>
        <v>No</v>
      </c>
      <c r="D30" s="4" t="str">
        <f>+IF('1 Data Material DPP'!E30="—","—",IF('1 Data Material DPP'!E30&lt;&gt;"","Yes","No"))</f>
        <v>Yes</v>
      </c>
      <c r="E30" s="3" t="str">
        <f>+'1 Data Material DPP'!F30</f>
        <v>EPD 2025</v>
      </c>
      <c r="F30" s="4" t="str">
        <f t="shared" si="0"/>
        <v>Yes</v>
      </c>
      <c r="G30" s="4"/>
      <c r="H30" s="3"/>
    </row>
    <row r="31" spans="1:8" ht="28.2" thickBot="1" x14ac:dyDescent="0.35">
      <c r="A31" s="29"/>
      <c r="B31" s="3" t="str">
        <f>+'1 Data Material DPP'!B31</f>
        <v>Reusability potential</v>
      </c>
      <c r="C31" s="4" t="str">
        <f>IF('1 Data Material DPP'!C31&lt;&gt;"","Yes","No")</f>
        <v>No</v>
      </c>
      <c r="D31" s="4" t="str">
        <f>+IF('1 Data Material DPP'!E31="—","—",IF('1 Data Material DPP'!E31&lt;&gt;"","Yes","No"))</f>
        <v>Yes</v>
      </c>
      <c r="E31" s="3" t="str">
        <f>+'1 Data Material DPP'!F31</f>
        <v>Range Atta et al. 2021</v>
      </c>
      <c r="F31" s="4" t="str">
        <f t="shared" si="0"/>
        <v>Yes</v>
      </c>
      <c r="G31" s="4" t="s">
        <v>98</v>
      </c>
      <c r="H31" s="3" t="s">
        <v>102</v>
      </c>
    </row>
    <row r="32" spans="1:8" ht="31.8" customHeight="1" thickBot="1" x14ac:dyDescent="0.35">
      <c r="A32" s="29"/>
      <c r="B32" s="3" t="str">
        <f>+'1 Data Material DPP'!B32</f>
        <v>Recovery score</v>
      </c>
      <c r="C32" s="4" t="str">
        <f>IF('1 Data Material DPP'!C32&lt;&gt;"","Yes","No")</f>
        <v>No</v>
      </c>
      <c r="D32" s="4" t="str">
        <f>+IF('1 Data Material DPP'!E32="—","—",IF('1 Data Material DPP'!E32&lt;&gt;"","Yes","No"))</f>
        <v>Yes</v>
      </c>
      <c r="E32" s="3" t="str">
        <f>+'1 Data Material DPP'!F32</f>
        <v>Range Atta et al. 2021</v>
      </c>
      <c r="F32" s="4" t="str">
        <f t="shared" si="0"/>
        <v>Yes</v>
      </c>
      <c r="G32" s="4" t="s">
        <v>93</v>
      </c>
      <c r="H32" s="3" t="s">
        <v>103</v>
      </c>
    </row>
    <row r="33" spans="1:8" ht="15" thickBot="1" x14ac:dyDescent="0.35">
      <c r="A33" s="29"/>
      <c r="B33" s="3" t="str">
        <f>+'1 Data Material DPP'!B33</f>
        <v>Disassembly potential</v>
      </c>
      <c r="C33" s="4" t="str">
        <f>IF('1 Data Material DPP'!C33&lt;&gt;"","Yes","No")</f>
        <v>No</v>
      </c>
      <c r="D33" s="4" t="str">
        <f>+IF('1 Data Material DPP'!E33="—","—",IF('1 Data Material DPP'!E33&lt;&gt;"","Yes","No"))</f>
        <v>Yes</v>
      </c>
      <c r="E33" s="3" t="str">
        <f>+'1 Data Material DPP'!F33</f>
        <v xml:space="preserve">Range assigned </v>
      </c>
      <c r="F33" s="4" t="str">
        <f t="shared" si="0"/>
        <v>Yes</v>
      </c>
      <c r="G33" s="4" t="s">
        <v>98</v>
      </c>
      <c r="H33" s="3" t="s">
        <v>104</v>
      </c>
    </row>
    <row r="34" spans="1:8" ht="15" thickBot="1" x14ac:dyDescent="0.35">
      <c r="A34" s="29"/>
      <c r="B34" s="3" t="str">
        <f>+'1 Data Material DPP'!B34</f>
        <v>Disassembly instructions</v>
      </c>
      <c r="C34" s="4" t="str">
        <f>IF('1 Data Material DPP'!C34&lt;&gt;"","Yes","No")</f>
        <v>Yes</v>
      </c>
      <c r="D34" s="4" t="str">
        <f>+IF('1 Data Material DPP'!E34="—","—",IF('1 Data Material DPP'!E34&lt;&gt;"","Yes","No"))</f>
        <v>No</v>
      </c>
      <c r="E34" s="3" t="str">
        <f>+'1 Data Material DPP'!F34</f>
        <v>EPD 2025</v>
      </c>
      <c r="F34" s="4" t="str">
        <f t="shared" si="0"/>
        <v>Yes</v>
      </c>
      <c r="G34" s="4" t="s">
        <v>95</v>
      </c>
      <c r="H34" s="3"/>
    </row>
    <row r="35" spans="1:8" ht="27" customHeight="1" thickBot="1" x14ac:dyDescent="0.35">
      <c r="A35" s="29"/>
      <c r="B35" s="3" t="str">
        <f>+'1 Data Material DPP'!B35</f>
        <v>Secondary use scenarios</v>
      </c>
      <c r="C35" s="4" t="str">
        <f>IF('1 Data Material DPP'!C35&lt;&gt;"","Yes","No")</f>
        <v>Yes</v>
      </c>
      <c r="D35" s="4" t="str">
        <f>+IF('1 Data Material DPP'!E35="—","—",IF('1 Data Material DPP'!E35&lt;&gt;"","Yes","No"))</f>
        <v>No</v>
      </c>
      <c r="E35" s="3" t="str">
        <f>+'1 Data Material DPP'!F35</f>
        <v>EPD 2025</v>
      </c>
      <c r="F35" s="4" t="str">
        <f t="shared" si="0"/>
        <v>Yes</v>
      </c>
      <c r="G35" s="4" t="s">
        <v>95</v>
      </c>
      <c r="H35" s="3"/>
    </row>
    <row r="36" spans="1:8" ht="27" customHeight="1" thickBot="1" x14ac:dyDescent="0.35">
      <c r="A36" s="30"/>
      <c r="B36" s="3" t="str">
        <f>+'1 Data Material DPP'!B36</f>
        <v>End-of-life recommendation</v>
      </c>
      <c r="C36" s="4" t="str">
        <f>IF('1 Data Material DPP'!C36&lt;&gt;"","Yes","No")</f>
        <v>Yes</v>
      </c>
      <c r="D36" s="4" t="str">
        <f>+IF('1 Data Material DPP'!E36="—","—",IF('1 Data Material DPP'!E36&lt;&gt;"","Yes","No"))</f>
        <v>No</v>
      </c>
      <c r="E36" s="3" t="str">
        <f>+'1 Data Material DPP'!F36</f>
        <v>EPD 2025</v>
      </c>
      <c r="F36" s="4" t="str">
        <f t="shared" si="0"/>
        <v>Yes</v>
      </c>
      <c r="G36" s="4" t="s">
        <v>95</v>
      </c>
      <c r="H36" s="3"/>
    </row>
    <row r="37" spans="1:8" ht="15" thickBot="1" x14ac:dyDescent="0.35">
      <c r="A37" s="28" t="s">
        <v>6</v>
      </c>
      <c r="B37" s="3" t="str">
        <f>+'1 Data Material DPP'!B37</f>
        <v xml:space="preserve">EPD </v>
      </c>
      <c r="C37" s="4" t="str">
        <f>IF('1 Data Material DPP'!C37&lt;&gt;"","Yes","No")</f>
        <v>Yes</v>
      </c>
      <c r="D37" s="4" t="str">
        <f>+IF('1 Data Material DPP'!E37="—","—",IF('1 Data Material DPP'!E37&lt;&gt;"","Yes","No"))</f>
        <v>Yes</v>
      </c>
      <c r="E37" s="3" t="str">
        <f>+'1 Data Material DPP'!F37</f>
        <v xml:space="preserve">By manufacturer </v>
      </c>
      <c r="F37" s="4" t="str">
        <f t="shared" si="0"/>
        <v>No</v>
      </c>
      <c r="G37" s="4"/>
      <c r="H37" s="3"/>
    </row>
    <row r="38" spans="1:8" ht="15" thickBot="1" x14ac:dyDescent="0.35">
      <c r="A38" s="29"/>
      <c r="B38" s="3" t="str">
        <f>+'1 Data Material DPP'!B38</f>
        <v>Link EPD</v>
      </c>
      <c r="C38" s="4" t="str">
        <f>IF('1 Data Material DPP'!C38&lt;&gt;"","Yes","No")</f>
        <v>Yes</v>
      </c>
      <c r="D38" s="4" t="str">
        <f>+IF('1 Data Material DPP'!E38="—","—",IF('1 Data Material DPP'!E38&lt;&gt;"","Yes","No"))</f>
        <v>—</v>
      </c>
      <c r="E38" s="3" t="str">
        <f>+'1 Data Material DPP'!F38</f>
        <v xml:space="preserve">By manufacturer </v>
      </c>
      <c r="F38" s="4" t="str">
        <f t="shared" si="0"/>
        <v>No</v>
      </c>
      <c r="G38" s="4"/>
      <c r="H38" s="3"/>
    </row>
    <row r="39" spans="1:8" ht="55.8" thickBot="1" x14ac:dyDescent="0.35">
      <c r="A39" s="29"/>
      <c r="B39" s="3" t="str">
        <f>+'1 Data Material DPP'!B39</f>
        <v>Global Warming Potential (GWP)</v>
      </c>
      <c r="C39" s="4" t="str">
        <f>IF('1 Data Material DPP'!C39&lt;&gt;"","Yes","No")</f>
        <v>No</v>
      </c>
      <c r="D39" s="4" t="str">
        <f>+IF('1 Data Material DPP'!E39="—","—",IF('1 Data Material DPP'!E39&lt;&gt;"","Yes","No"))</f>
        <v>No</v>
      </c>
      <c r="E39" s="3">
        <f>+'1 Data Material DPP'!F39</f>
        <v>0</v>
      </c>
      <c r="F39" s="4" t="str">
        <f t="shared" si="0"/>
        <v>Yes</v>
      </c>
      <c r="G39" s="4" t="s">
        <v>93</v>
      </c>
      <c r="H39" s="3" t="s">
        <v>105</v>
      </c>
    </row>
    <row r="40" spans="1:8" ht="55.8" thickBot="1" x14ac:dyDescent="0.35">
      <c r="A40" s="29"/>
      <c r="B40" s="3" t="str">
        <f>+'1 Data Material DPP'!B40</f>
        <v>Primary Energy Intensity (PEI) Renewable</v>
      </c>
      <c r="C40" s="4" t="str">
        <f>IF('1 Data Material DPP'!C40&lt;&gt;"","Yes","No")</f>
        <v>No</v>
      </c>
      <c r="D40" s="4" t="str">
        <f>+IF('1 Data Material DPP'!E40="—","—",IF('1 Data Material DPP'!E40&lt;&gt;"","Yes","No"))</f>
        <v>No</v>
      </c>
      <c r="E40" s="3">
        <f>+'1 Data Material DPP'!F40</f>
        <v>0</v>
      </c>
      <c r="F40" s="4" t="str">
        <f t="shared" si="0"/>
        <v>Yes</v>
      </c>
      <c r="G40" s="4" t="s">
        <v>93</v>
      </c>
      <c r="H40" s="3" t="s">
        <v>106</v>
      </c>
    </row>
    <row r="41" spans="1:8" ht="55.8" thickBot="1" x14ac:dyDescent="0.35">
      <c r="A41" s="29"/>
      <c r="B41" s="3" t="str">
        <f>+'1 Data Material DPP'!B41</f>
        <v>Primary Energy Intensity (PEI) Non-renewable</v>
      </c>
      <c r="C41" s="4" t="str">
        <f>IF('1 Data Material DPP'!C41&lt;&gt;"","Yes","No")</f>
        <v>No</v>
      </c>
      <c r="D41" s="4" t="str">
        <f>+IF('1 Data Material DPP'!E41="—","—",IF('1 Data Material DPP'!E41&lt;&gt;"","Yes","No"))</f>
        <v>No</v>
      </c>
      <c r="E41" s="3">
        <f>+'1 Data Material DPP'!F41</f>
        <v>0</v>
      </c>
      <c r="F41" s="4" t="str">
        <f t="shared" si="0"/>
        <v>Yes</v>
      </c>
      <c r="G41" s="4" t="s">
        <v>93</v>
      </c>
      <c r="H41" s="3" t="s">
        <v>107</v>
      </c>
    </row>
    <row r="42" spans="1:8" ht="42" thickBot="1" x14ac:dyDescent="0.35">
      <c r="A42" s="29"/>
      <c r="B42" s="3" t="str">
        <f>+'1 Data Material DPP'!B42</f>
        <v>Acidification Potential (AP)</v>
      </c>
      <c r="C42" s="4" t="str">
        <f>IF('1 Data Material DPP'!C42&lt;&gt;"","Yes","No")</f>
        <v>No</v>
      </c>
      <c r="D42" s="4" t="str">
        <f>+IF('1 Data Material DPP'!E42="—","—",IF('1 Data Material DPP'!E42&lt;&gt;"","Yes","No"))</f>
        <v>No</v>
      </c>
      <c r="E42" s="3">
        <f>+'1 Data Material DPP'!F42</f>
        <v>0</v>
      </c>
      <c r="F42" s="4" t="str">
        <f t="shared" si="0"/>
        <v>Yes</v>
      </c>
      <c r="G42" s="4" t="s">
        <v>93</v>
      </c>
      <c r="H42" s="3" t="s">
        <v>108</v>
      </c>
    </row>
    <row r="43" spans="1:8" ht="42" thickBot="1" x14ac:dyDescent="0.35">
      <c r="A43" s="29"/>
      <c r="B43" s="3" t="str">
        <f>+'1 Data Material DPP'!B43</f>
        <v>Embodied carbon</v>
      </c>
      <c r="C43" s="4" t="str">
        <f>IF('1 Data Material DPP'!C43&lt;&gt;"","Yes","No")</f>
        <v>No</v>
      </c>
      <c r="D43" s="4" t="str">
        <f>+IF('1 Data Material DPP'!E43="—","—",IF('1 Data Material DPP'!E43&lt;&gt;"","Yes","No"))</f>
        <v>No</v>
      </c>
      <c r="E43" s="3">
        <f>+'1 Data Material DPP'!F43</f>
        <v>0</v>
      </c>
      <c r="F43" s="4" t="str">
        <f t="shared" si="0"/>
        <v>Yes</v>
      </c>
      <c r="G43" s="4" t="s">
        <v>93</v>
      </c>
      <c r="H43" s="3" t="s">
        <v>109</v>
      </c>
    </row>
    <row r="44" spans="1:8" ht="42" thickBot="1" x14ac:dyDescent="0.35">
      <c r="A44" s="29"/>
      <c r="B44" s="3" t="str">
        <f>+'1 Data Material DPP'!B44</f>
        <v>Biogenic carbon storage</v>
      </c>
      <c r="C44" s="4" t="str">
        <f>IF('1 Data Material DPP'!C44&lt;&gt;"","Yes","No")</f>
        <v>No</v>
      </c>
      <c r="D44" s="4" t="str">
        <f>+IF('1 Data Material DPP'!E44="—","—",IF('1 Data Material DPP'!E44&lt;&gt;"","Yes","No"))</f>
        <v>No</v>
      </c>
      <c r="E44" s="3">
        <f>+'1 Data Material DPP'!F44</f>
        <v>0</v>
      </c>
      <c r="F44" s="4" t="str">
        <f t="shared" si="0"/>
        <v>Yes</v>
      </c>
      <c r="G44" s="4" t="s">
        <v>93</v>
      </c>
      <c r="H44" s="3" t="s">
        <v>110</v>
      </c>
    </row>
    <row r="45" spans="1:8" ht="42" thickBot="1" x14ac:dyDescent="0.35">
      <c r="A45" s="29"/>
      <c r="B45" s="3" t="str">
        <f>+'1 Data Material DPP'!B45</f>
        <v>End-of-life emissions</v>
      </c>
      <c r="C45" s="4" t="str">
        <f>IF('1 Data Material DPP'!C45&lt;&gt;"","Yes","No")</f>
        <v>No</v>
      </c>
      <c r="D45" s="4" t="str">
        <f>+IF('1 Data Material DPP'!E45="—","—",IF('1 Data Material DPP'!E45&lt;&gt;"","Yes","No"))</f>
        <v>No</v>
      </c>
      <c r="E45" s="3">
        <f>+'1 Data Material DPP'!F45</f>
        <v>0</v>
      </c>
      <c r="F45" s="4" t="str">
        <f t="shared" si="0"/>
        <v>Yes</v>
      </c>
      <c r="G45" s="4" t="s">
        <v>93</v>
      </c>
      <c r="H45" s="3" t="s">
        <v>111</v>
      </c>
    </row>
    <row r="46" spans="1:8" ht="15" thickBot="1" x14ac:dyDescent="0.35">
      <c r="A46" s="29"/>
      <c r="B46" s="3" t="str">
        <f>+'1 Data Material DPP'!B46</f>
        <v>Circularity index</v>
      </c>
      <c r="C46" s="4" t="str">
        <f>IF('1 Data Material DPP'!C46&lt;&gt;"","Yes","No")</f>
        <v>No</v>
      </c>
      <c r="D46" s="4" t="str">
        <f>+IF('1 Data Material DPP'!E46="—","—",IF('1 Data Material DPP'!E46&lt;&gt;"","Yes","No"))</f>
        <v>Yes</v>
      </c>
      <c r="E46" s="3" t="str">
        <f>+'1 Data Material DPP'!F46</f>
        <v xml:space="preserve">Range assigned </v>
      </c>
      <c r="F46" s="4" t="str">
        <f t="shared" si="0"/>
        <v>Yes</v>
      </c>
      <c r="G46" s="4" t="s">
        <v>98</v>
      </c>
      <c r="H46" s="3" t="s">
        <v>104</v>
      </c>
    </row>
    <row r="47" spans="1:8" ht="42" thickBot="1" x14ac:dyDescent="0.35">
      <c r="A47" s="29"/>
      <c r="B47" s="3" t="str">
        <f>+'1 Data Material DPP'!B47</f>
        <v>Normalized environmental performance</v>
      </c>
      <c r="C47" s="4" t="str">
        <f>IF('1 Data Material DPP'!C47&lt;&gt;"","Yes","No")</f>
        <v>No</v>
      </c>
      <c r="D47" s="4" t="str">
        <f>+IF('1 Data Material DPP'!E47="—","—",IF('1 Data Material DPP'!E47&lt;&gt;"","Yes","No"))</f>
        <v>Yes</v>
      </c>
      <c r="E47" s="3" t="str">
        <f>+'1 Data Material DPP'!F47</f>
        <v>Range Atta et al. 2021</v>
      </c>
      <c r="F47" s="4" t="str">
        <f t="shared" si="0"/>
        <v>Yes</v>
      </c>
      <c r="G47" s="4" t="s">
        <v>93</v>
      </c>
      <c r="H47" s="3" t="s">
        <v>112</v>
      </c>
    </row>
    <row r="48" spans="1:8" ht="55.8" thickBot="1" x14ac:dyDescent="0.35">
      <c r="A48" s="29"/>
      <c r="B48" s="3" t="str">
        <f>+'1 Data Material DPP'!B48</f>
        <v>Secondary life weighting</v>
      </c>
      <c r="C48" s="4" t="str">
        <f>IF('1 Data Material DPP'!C48&lt;&gt;"","Yes","No")</f>
        <v>No</v>
      </c>
      <c r="D48" s="4" t="str">
        <f>+IF('1 Data Material DPP'!E48="—","—",IF('1 Data Material DPP'!E48&lt;&gt;"","Yes","No"))</f>
        <v>Yes</v>
      </c>
      <c r="E48" s="3" t="str">
        <f>+'1 Data Material DPP'!F48</f>
        <v>Range Atta et al. 2021</v>
      </c>
      <c r="F48" s="4" t="str">
        <f t="shared" si="0"/>
        <v>Yes</v>
      </c>
      <c r="G48" s="4" t="s">
        <v>93</v>
      </c>
      <c r="H48" s="3" t="s">
        <v>113</v>
      </c>
    </row>
    <row r="49" spans="1:8" ht="45" customHeight="1" thickBot="1" x14ac:dyDescent="0.35">
      <c r="A49" s="30"/>
      <c r="B49" s="3" t="str">
        <f>+'1 Data Material DPP'!B49</f>
        <v>Environmental score</v>
      </c>
      <c r="C49" s="4" t="str">
        <f>IF('1 Data Material DPP'!C49&lt;&gt;"","Yes","No")</f>
        <v>No</v>
      </c>
      <c r="D49" s="4" t="str">
        <f>+IF('1 Data Material DPP'!E49="—","—",IF('1 Data Material DPP'!E49&lt;&gt;"","Yes","No"))</f>
        <v>Yes</v>
      </c>
      <c r="E49" s="3" t="str">
        <f>+'1 Data Material DPP'!F49</f>
        <v>Range Atta et al. 2021</v>
      </c>
      <c r="F49" s="4" t="str">
        <f t="shared" si="0"/>
        <v>Yes</v>
      </c>
      <c r="G49" s="4" t="s">
        <v>93</v>
      </c>
      <c r="H49" s="3" t="s">
        <v>114</v>
      </c>
    </row>
    <row r="50" spans="1:8" ht="28.2" thickBot="1" x14ac:dyDescent="0.35">
      <c r="A50" s="28" t="s">
        <v>7</v>
      </c>
      <c r="B50" s="3" t="str">
        <f>+'1 Data Material DPP'!B50</f>
        <v>Service life</v>
      </c>
      <c r="C50" s="4" t="str">
        <f>IF('1 Data Material DPP'!C50&lt;&gt;"","Yes","No")</f>
        <v>Yes</v>
      </c>
      <c r="D50" s="4" t="str">
        <f>+IF('1 Data Material DPP'!E50="—","—",IF('1 Data Material DPP'!E50&lt;&gt;"","Yes","No"))</f>
        <v>No</v>
      </c>
      <c r="E50" s="3" t="str">
        <f>+'1 Data Material DPP'!F50</f>
        <v>Technical data sheet 06/2025</v>
      </c>
      <c r="F50" s="4" t="str">
        <f t="shared" si="0"/>
        <v>Yes</v>
      </c>
      <c r="G50" s="4" t="s">
        <v>95</v>
      </c>
      <c r="H50" s="3"/>
    </row>
    <row r="51" spans="1:8" ht="15" thickBot="1" x14ac:dyDescent="0.35">
      <c r="A51" s="29"/>
      <c r="B51" s="3" t="str">
        <f>+'1 Data Material DPP'!B51</f>
        <v>Soursing distance</v>
      </c>
      <c r="C51" s="4" t="str">
        <f>IF('1 Data Material DPP'!C51&lt;&gt;"","Yes","No")</f>
        <v>Yes</v>
      </c>
      <c r="D51" s="4" t="str">
        <f>+IF('1 Data Material DPP'!E51="—","—",IF('1 Data Material DPP'!E51&lt;&gt;"","Yes","No"))</f>
        <v>No</v>
      </c>
      <c r="E51" s="3" t="str">
        <f>+'1 Data Material DPP'!F51</f>
        <v xml:space="preserve">By manufacturer </v>
      </c>
      <c r="F51" s="4" t="str">
        <f t="shared" si="0"/>
        <v>Yes</v>
      </c>
      <c r="G51" s="4" t="s">
        <v>95</v>
      </c>
      <c r="H51" s="3"/>
    </row>
    <row r="52" spans="1:8" ht="15" thickBot="1" x14ac:dyDescent="0.35">
      <c r="A52" s="29"/>
      <c r="B52" s="3" t="str">
        <f>+'1 Data Material DPP'!B52</f>
        <v>Warranty</v>
      </c>
      <c r="C52" s="4" t="str">
        <f>IF('1 Data Material DPP'!C52&lt;&gt;"","Yes","No")</f>
        <v>Yes</v>
      </c>
      <c r="D52" s="4" t="str">
        <f>+IF('1 Data Material DPP'!E52="—","—",IF('1 Data Material DPP'!E52&lt;&gt;"","Yes","No"))</f>
        <v>Yes</v>
      </c>
      <c r="E52" s="3" t="str">
        <f>+'1 Data Material DPP'!F52</f>
        <v xml:space="preserve">By manufacturer </v>
      </c>
      <c r="F52" s="4" t="str">
        <f t="shared" si="0"/>
        <v>No</v>
      </c>
      <c r="G52" s="4"/>
      <c r="H52" s="3"/>
    </row>
    <row r="53" spans="1:8" ht="15" thickBot="1" x14ac:dyDescent="0.35">
      <c r="A53" s="30"/>
      <c r="B53" s="3" t="str">
        <f>+'1 Data Material DPP'!B53</f>
        <v>Update history</v>
      </c>
      <c r="C53" s="4" t="str">
        <f>IF('1 Data Material DPP'!C53&lt;&gt;"","Yes","No")</f>
        <v>No</v>
      </c>
      <c r="D53" s="4" t="str">
        <f>+IF('1 Data Material DPP'!E53="—","—",IF('1 Data Material DPP'!E53&lt;&gt;"","Yes","No"))</f>
        <v>—</v>
      </c>
      <c r="E53" s="3">
        <f>+'1 Data Material DPP'!F53</f>
        <v>0</v>
      </c>
      <c r="F53" s="4" t="str">
        <f t="shared" si="0"/>
        <v>Yes</v>
      </c>
      <c r="G53" s="4" t="s">
        <v>3</v>
      </c>
      <c r="H53" s="3" t="s">
        <v>91</v>
      </c>
    </row>
    <row r="54" spans="1:8" ht="15" thickBot="1" x14ac:dyDescent="0.35">
      <c r="A54" s="28" t="s">
        <v>8</v>
      </c>
      <c r="B54" s="3" t="str">
        <f>+'1 Data Material DPP'!B54</f>
        <v xml:space="preserve">HPD </v>
      </c>
      <c r="C54" s="4" t="str">
        <f>IF('1 Data Material DPP'!C54&lt;&gt;"","Yes","No")</f>
        <v>Yes</v>
      </c>
      <c r="D54" s="4" t="str">
        <f>+IF('1 Data Material DPP'!E54="—","—",IF('1 Data Material DPP'!E54&lt;&gt;"","Yes","No"))</f>
        <v>Yes</v>
      </c>
      <c r="E54" s="3" t="str">
        <f>+'1 Data Material DPP'!F54</f>
        <v xml:space="preserve">By manufacturer </v>
      </c>
      <c r="F54" s="4" t="str">
        <f t="shared" si="0"/>
        <v>No</v>
      </c>
      <c r="G54" s="4"/>
      <c r="H54" s="3"/>
    </row>
    <row r="55" spans="1:8" ht="15" thickBot="1" x14ac:dyDescent="0.35">
      <c r="A55" s="29"/>
      <c r="B55" s="3" t="str">
        <f>+'1 Data Material DPP'!B55</f>
        <v>Link HPD</v>
      </c>
      <c r="C55" s="4" t="str">
        <f>IF('1 Data Material DPP'!C55&lt;&gt;"","Yes","No")</f>
        <v>Yes</v>
      </c>
      <c r="D55" s="4" t="str">
        <f>+IF('1 Data Material DPP'!E55="—","—",IF('1 Data Material DPP'!E55&lt;&gt;"","Yes","No"))</f>
        <v>—</v>
      </c>
      <c r="E55" s="3" t="str">
        <f>+'1 Data Material DPP'!F55</f>
        <v xml:space="preserve">By manufacturer </v>
      </c>
      <c r="F55" s="4" t="str">
        <f t="shared" si="0"/>
        <v>No</v>
      </c>
      <c r="G55" s="4"/>
      <c r="H55" s="3"/>
    </row>
    <row r="56" spans="1:8" ht="42" thickBot="1" x14ac:dyDescent="0.35">
      <c r="A56" s="29"/>
      <c r="B56" s="3" t="str">
        <f>+'1 Data Material DPP'!B56</f>
        <v>Hazard classification</v>
      </c>
      <c r="C56" s="4" t="str">
        <f>IF('1 Data Material DPP'!C56&lt;&gt;"","Yes","No")</f>
        <v>Yes</v>
      </c>
      <c r="D56" s="4" t="str">
        <f>+IF('1 Data Material DPP'!E56="—","—",IF('1 Data Material DPP'!E56&lt;&gt;"","Yes","No"))</f>
        <v>Yes</v>
      </c>
      <c r="E56" s="3" t="str">
        <f>+'1 Data Material DPP'!F56</f>
        <v>Technical data sheet 06/2025 (Range GHS)</v>
      </c>
      <c r="F56" s="4" t="str">
        <f t="shared" si="0"/>
        <v>No</v>
      </c>
      <c r="G56" s="4"/>
      <c r="H56" s="3"/>
    </row>
    <row r="57" spans="1:8" ht="42" thickBot="1" x14ac:dyDescent="0.35">
      <c r="A57" s="29"/>
      <c r="B57" s="3" t="str">
        <f>+'1 Data Material DPP'!B57</f>
        <v>PM</v>
      </c>
      <c r="C57" s="4" t="str">
        <f>IF('1 Data Material DPP'!C57&lt;&gt;"","Yes","No")</f>
        <v>No</v>
      </c>
      <c r="D57" s="4" t="str">
        <f>+IF('1 Data Material DPP'!E57="—","—",IF('1 Data Material DPP'!E57&lt;&gt;"","Yes","No"))</f>
        <v>No</v>
      </c>
      <c r="E57" s="3">
        <f>+'1 Data Material DPP'!F57</f>
        <v>0</v>
      </c>
      <c r="F57" s="4" t="str">
        <f t="shared" si="0"/>
        <v>Yes</v>
      </c>
      <c r="G57" s="4" t="s">
        <v>93</v>
      </c>
      <c r="H57" s="3" t="s">
        <v>115</v>
      </c>
    </row>
    <row r="58" spans="1:8" ht="42" thickBot="1" x14ac:dyDescent="0.35">
      <c r="A58" s="29"/>
      <c r="B58" s="3" t="str">
        <f>+'1 Data Material DPP'!B58</f>
        <v>IRP</v>
      </c>
      <c r="C58" s="4" t="str">
        <f>IF('1 Data Material DPP'!C58&lt;&gt;"","Yes","No")</f>
        <v>No</v>
      </c>
      <c r="D58" s="4" t="str">
        <f>+IF('1 Data Material DPP'!E58="—","—",IF('1 Data Material DPP'!E58&lt;&gt;"","Yes","No"))</f>
        <v>No</v>
      </c>
      <c r="E58" s="3">
        <f>+'1 Data Material DPP'!F58</f>
        <v>0</v>
      </c>
      <c r="F58" s="4" t="str">
        <f t="shared" si="0"/>
        <v>Yes</v>
      </c>
      <c r="G58" s="4" t="s">
        <v>93</v>
      </c>
      <c r="H58" s="3" t="s">
        <v>116</v>
      </c>
    </row>
    <row r="59" spans="1:8" ht="55.8" thickBot="1" x14ac:dyDescent="0.35">
      <c r="A59" s="29"/>
      <c r="B59" s="3" t="str">
        <f>+'1 Data Material DPP'!B59</f>
        <v>ETP-fw</v>
      </c>
      <c r="C59" s="4" t="str">
        <f>IF('1 Data Material DPP'!C59&lt;&gt;"","Yes","No")</f>
        <v>No</v>
      </c>
      <c r="D59" s="4" t="str">
        <f>+IF('1 Data Material DPP'!E59="—","—",IF('1 Data Material DPP'!E59&lt;&gt;"","Yes","No"))</f>
        <v>No</v>
      </c>
      <c r="E59" s="3">
        <f>+'1 Data Material DPP'!F59</f>
        <v>0</v>
      </c>
      <c r="F59" s="4" t="str">
        <f t="shared" si="0"/>
        <v>Yes</v>
      </c>
      <c r="G59" s="4" t="s">
        <v>93</v>
      </c>
      <c r="H59" s="3" t="s">
        <v>117</v>
      </c>
    </row>
    <row r="60" spans="1:8" ht="46.2" customHeight="1" thickBot="1" x14ac:dyDescent="0.35">
      <c r="A60" s="29"/>
      <c r="B60" s="3" t="str">
        <f>+'1 Data Material DPP'!B60</f>
        <v>HTP-c</v>
      </c>
      <c r="C60" s="4" t="str">
        <f>IF('1 Data Material DPP'!C60&lt;&gt;"","Yes","No")</f>
        <v>No</v>
      </c>
      <c r="D60" s="4" t="str">
        <f>+IF('1 Data Material DPP'!E60="—","—",IF('1 Data Material DPP'!E60&lt;&gt;"","Yes","No"))</f>
        <v>No</v>
      </c>
      <c r="E60" s="3">
        <f>+'1 Data Material DPP'!F60</f>
        <v>0</v>
      </c>
      <c r="F60" s="4" t="str">
        <f t="shared" si="0"/>
        <v>Yes</v>
      </c>
      <c r="G60" s="4" t="s">
        <v>93</v>
      </c>
      <c r="H60" s="3" t="s">
        <v>118</v>
      </c>
    </row>
    <row r="61" spans="1:8" ht="55.8" thickBot="1" x14ac:dyDescent="0.35">
      <c r="A61" s="29"/>
      <c r="B61" s="3" t="str">
        <f>+'1 Data Material DPP'!B61</f>
        <v>HTP-nc</v>
      </c>
      <c r="C61" s="4" t="str">
        <f>IF('1 Data Material DPP'!C61&lt;&gt;"","Yes","No")</f>
        <v>No</v>
      </c>
      <c r="D61" s="4" t="str">
        <f>+IF('1 Data Material DPP'!E61="—","—",IF('1 Data Material DPP'!E61&lt;&gt;"","Yes","No"))</f>
        <v>No</v>
      </c>
      <c r="E61" s="3">
        <f>+'1 Data Material DPP'!F61</f>
        <v>0</v>
      </c>
      <c r="F61" s="4" t="str">
        <f t="shared" si="0"/>
        <v>Yes</v>
      </c>
      <c r="G61" s="4" t="s">
        <v>93</v>
      </c>
      <c r="H61" s="3" t="s">
        <v>119</v>
      </c>
    </row>
    <row r="62" spans="1:8" ht="42" thickBot="1" x14ac:dyDescent="0.35">
      <c r="A62" s="29"/>
      <c r="B62" s="3" t="str">
        <f>+'1 Data Material DPP'!B62</f>
        <v>SQP</v>
      </c>
      <c r="C62" s="4" t="str">
        <f>IF('1 Data Material DPP'!C62&lt;&gt;"","Yes","No")</f>
        <v>No</v>
      </c>
      <c r="D62" s="4" t="str">
        <f>+IF('1 Data Material DPP'!E62="—","—",IF('1 Data Material DPP'!E62&lt;&gt;"","Yes","No"))</f>
        <v>No</v>
      </c>
      <c r="E62" s="3">
        <f>+'1 Data Material DPP'!F62</f>
        <v>0</v>
      </c>
      <c r="F62" s="4" t="str">
        <f t="shared" si="0"/>
        <v>Yes</v>
      </c>
      <c r="G62" s="4" t="s">
        <v>93</v>
      </c>
      <c r="H62" s="3" t="s">
        <v>120</v>
      </c>
    </row>
    <row r="63" spans="1:8" ht="28.2" thickBot="1" x14ac:dyDescent="0.35">
      <c r="A63" s="29"/>
      <c r="B63" s="3" t="str">
        <f>+'1 Data Material DPP'!B63</f>
        <v>Toxicity</v>
      </c>
      <c r="C63" s="4" t="str">
        <f>IF('1 Data Material DPP'!C63&lt;&gt;"","Yes","No")</f>
        <v>Yes</v>
      </c>
      <c r="D63" s="4" t="str">
        <f>+IF('1 Data Material DPP'!E63="—","—",IF('1 Data Material DPP'!E63&lt;&gt;"","Yes","No"))</f>
        <v>Yes</v>
      </c>
      <c r="E63" s="3" t="str">
        <f>+'1 Data Material DPP'!F63</f>
        <v>Technical data sheet 06/2025</v>
      </c>
      <c r="F63" s="4" t="str">
        <f t="shared" si="0"/>
        <v>No</v>
      </c>
      <c r="G63" s="4"/>
      <c r="H63" s="3"/>
    </row>
    <row r="64" spans="1:8" ht="28.2" thickBot="1" x14ac:dyDescent="0.35">
      <c r="A64" s="29"/>
      <c r="B64" s="3" t="str">
        <f>+'1 Data Material DPP'!B64</f>
        <v>Class</v>
      </c>
      <c r="C64" s="4" t="str">
        <f>IF('1 Data Material DPP'!C64&lt;&gt;"","Yes","No")</f>
        <v>Yes</v>
      </c>
      <c r="D64" s="4" t="str">
        <f>+IF('1 Data Material DPP'!E64="—","—",IF('1 Data Material DPP'!E64&lt;&gt;"","Yes","No"))</f>
        <v>No</v>
      </c>
      <c r="E64" s="3" t="str">
        <f>+'1 Data Material DPP'!F64</f>
        <v xml:space="preserve">Technical data sheet 06/2025 </v>
      </c>
      <c r="F64" s="4" t="str">
        <f t="shared" si="0"/>
        <v>Yes</v>
      </c>
      <c r="G64" s="4" t="s">
        <v>95</v>
      </c>
      <c r="H64" s="3" t="s">
        <v>121</v>
      </c>
    </row>
    <row r="65" spans="1:8" ht="28.2" thickBot="1" x14ac:dyDescent="0.35">
      <c r="A65" s="29"/>
      <c r="B65" s="3" t="str">
        <f>+'1 Data Material DPP'!B65</f>
        <v>s-subclass</v>
      </c>
      <c r="C65" s="4" t="str">
        <f>IF('1 Data Material DPP'!C65&lt;&gt;"","Yes","No")</f>
        <v>Yes</v>
      </c>
      <c r="D65" s="4" t="str">
        <f>+IF('1 Data Material DPP'!E65="—","—",IF('1 Data Material DPP'!E65&lt;&gt;"","Yes","No"))</f>
        <v>No</v>
      </c>
      <c r="E65" s="3" t="str">
        <f>+'1 Data Material DPP'!F65</f>
        <v xml:space="preserve">Technical data sheet 06/2025 </v>
      </c>
      <c r="F65" s="4" t="str">
        <f t="shared" si="0"/>
        <v>Yes</v>
      </c>
      <c r="G65" s="4" t="s">
        <v>95</v>
      </c>
      <c r="H65" s="3" t="s">
        <v>121</v>
      </c>
    </row>
    <row r="66" spans="1:8" ht="28.2" thickBot="1" x14ac:dyDescent="0.35">
      <c r="A66" s="29"/>
      <c r="B66" s="3" t="str">
        <f>+'1 Data Material DPP'!B66</f>
        <v>d_subclass</v>
      </c>
      <c r="C66" s="4" t="str">
        <f>IF('1 Data Material DPP'!C66&lt;&gt;"","Yes","No")</f>
        <v>Yes</v>
      </c>
      <c r="D66" s="4" t="str">
        <f>+IF('1 Data Material DPP'!E66="—","—",IF('1 Data Material DPP'!E66&lt;&gt;"","Yes","No"))</f>
        <v>No</v>
      </c>
      <c r="E66" s="3" t="str">
        <f>+'1 Data Material DPP'!F66</f>
        <v xml:space="preserve">Technical data sheet 06/2025 </v>
      </c>
      <c r="F66" s="4" t="str">
        <f t="shared" si="0"/>
        <v>Yes</v>
      </c>
      <c r="G66" s="4" t="s">
        <v>95</v>
      </c>
      <c r="H66" s="3" t="s">
        <v>121</v>
      </c>
    </row>
    <row r="67" spans="1:8" ht="28.2" thickBot="1" x14ac:dyDescent="0.35">
      <c r="A67" s="29"/>
      <c r="B67" s="3" t="str">
        <f>+'1 Data Material DPP'!B67</f>
        <v>Fire resistance</v>
      </c>
      <c r="C67" s="4" t="str">
        <f>IF('1 Data Material DPP'!C67&lt;&gt;"","Yes","No")</f>
        <v>Yes</v>
      </c>
      <c r="D67" s="4" t="str">
        <f>+IF('1 Data Material DPP'!E67="—","—",IF('1 Data Material DPP'!E67&lt;&gt;"","Yes","No"))</f>
        <v>No</v>
      </c>
      <c r="E67" s="3" t="str">
        <f>+'1 Data Material DPP'!F67</f>
        <v xml:space="preserve">Technical data sheet 06/2025 </v>
      </c>
      <c r="F67" s="4" t="str">
        <f t="shared" ref="F67:F78" si="1">IF(AND(C67="Yes",OR(D67="Yes",D67="—")),"No","Yes")</f>
        <v>Yes</v>
      </c>
      <c r="G67" s="4" t="s">
        <v>95</v>
      </c>
      <c r="H67" s="3" t="s">
        <v>121</v>
      </c>
    </row>
    <row r="68" spans="1:8" ht="28.2" thickBot="1" x14ac:dyDescent="0.35">
      <c r="A68" s="29"/>
      <c r="B68" s="3" t="str">
        <f>+'1 Data Material DPP'!B68</f>
        <v xml:space="preserve">Coatings </v>
      </c>
      <c r="C68" s="4" t="str">
        <f>IF('1 Data Material DPP'!C68&lt;&gt;"","Yes","No")</f>
        <v>Yes</v>
      </c>
      <c r="D68" s="4" t="str">
        <f>+IF('1 Data Material DPP'!E68="—","—",IF('1 Data Material DPP'!E68&lt;&gt;"","Yes","No"))</f>
        <v>Yes</v>
      </c>
      <c r="E68" s="3" t="str">
        <f>+'1 Data Material DPP'!F68</f>
        <v>Technical data sheet 06/2025</v>
      </c>
      <c r="F68" s="4" t="str">
        <f t="shared" si="1"/>
        <v>No</v>
      </c>
      <c r="G68" s="4"/>
      <c r="H68" s="3"/>
    </row>
    <row r="69" spans="1:8" ht="28.2" thickBot="1" x14ac:dyDescent="0.35">
      <c r="A69" s="29"/>
      <c r="B69" s="3" t="str">
        <f>+'1 Data Material DPP'!B69</f>
        <v>Coatings or treatments</v>
      </c>
      <c r="C69" s="4" t="str">
        <f>IF('1 Data Material DPP'!C69&lt;&gt;"","Yes","No")</f>
        <v>Yes</v>
      </c>
      <c r="D69" s="4" t="str">
        <f>+IF('1 Data Material DPP'!E69="—","—",IF('1 Data Material DPP'!E69&lt;&gt;"","Yes","No"))</f>
        <v>No</v>
      </c>
      <c r="E69" s="3" t="str">
        <f>+'1 Data Material DPP'!F69</f>
        <v>Technical data sheet 06/2025</v>
      </c>
      <c r="F69" s="4" t="str">
        <f t="shared" si="1"/>
        <v>Yes</v>
      </c>
      <c r="G69" s="4" t="s">
        <v>95</v>
      </c>
      <c r="H69" s="3" t="s">
        <v>122</v>
      </c>
    </row>
    <row r="70" spans="1:8" ht="83.4" thickBot="1" x14ac:dyDescent="0.35">
      <c r="A70" s="30"/>
      <c r="B70" s="3" t="str">
        <f>+'1 Data Material DPP'!B70</f>
        <v>Compliance certificates</v>
      </c>
      <c r="C70" s="4" t="str">
        <f>IF('1 Data Material DPP'!C70&lt;&gt;"","Yes","No")</f>
        <v>Yes</v>
      </c>
      <c r="D70" s="4" t="str">
        <f>+IF('1 Data Material DPP'!E70="—","—",IF('1 Data Material DPP'!E70&lt;&gt;"","Yes","No"))</f>
        <v>Yes</v>
      </c>
      <c r="E70" s="3" t="str">
        <f>+'1 Data Material DPP'!F70</f>
        <v>General type approval from DIBT (German Institute for Building Technology)</v>
      </c>
      <c r="F70" s="4" t="str">
        <f t="shared" si="1"/>
        <v>No</v>
      </c>
      <c r="G70" s="4"/>
      <c r="H70" s="3"/>
    </row>
    <row r="71" spans="1:8" ht="28.2" thickBot="1" x14ac:dyDescent="0.35">
      <c r="A71" s="28" t="s">
        <v>9</v>
      </c>
      <c r="B71" s="3" t="str">
        <f>+'1 Data Material DPP'!B71</f>
        <v>Material perception &amp; sensory qualities</v>
      </c>
      <c r="C71" s="4" t="str">
        <f>IF('1 Data Material DPP'!C71&lt;&gt;"","Yes","No")</f>
        <v>No</v>
      </c>
      <c r="D71" s="4" t="str">
        <f>+IF('1 Data Material DPP'!E71="—","—",IF('1 Data Material DPP'!E71&lt;&gt;"","Yes","No"))</f>
        <v>No</v>
      </c>
      <c r="E71" s="3">
        <f>+'1 Data Material DPP'!F71</f>
        <v>0</v>
      </c>
      <c r="F71" s="4" t="str">
        <f t="shared" si="1"/>
        <v>Yes</v>
      </c>
      <c r="G71" s="4" t="s">
        <v>123</v>
      </c>
      <c r="H71" s="3"/>
    </row>
    <row r="72" spans="1:8" ht="28.2" thickBot="1" x14ac:dyDescent="0.35">
      <c r="A72" s="29"/>
      <c r="B72" s="3" t="str">
        <f>+'1 Data Material DPP'!B72</f>
        <v>Cultural or regional relevance</v>
      </c>
      <c r="C72" s="4" t="str">
        <f>IF('1 Data Material DPP'!C72&lt;&gt;"","Yes","No")</f>
        <v>No</v>
      </c>
      <c r="D72" s="4" t="str">
        <f>+IF('1 Data Material DPP'!E72="—","—",IF('1 Data Material DPP'!E72&lt;&gt;"","Yes","No"))</f>
        <v>No</v>
      </c>
      <c r="E72" s="3">
        <f>+'1 Data Material DPP'!F72</f>
        <v>0</v>
      </c>
      <c r="F72" s="4" t="str">
        <f t="shared" si="1"/>
        <v>Yes</v>
      </c>
      <c r="G72" s="4" t="s">
        <v>95</v>
      </c>
      <c r="H72" s="3"/>
    </row>
    <row r="73" spans="1:8" ht="111" thickBot="1" x14ac:dyDescent="0.35">
      <c r="A73" s="29"/>
      <c r="B73" s="3" t="str">
        <f>+'1 Data Material DPP'!B73</f>
        <v>Aesthetic evolution</v>
      </c>
      <c r="C73" s="4" t="str">
        <f>IF('1 Data Material DPP'!C73&lt;&gt;"","Yes","No")</f>
        <v>No</v>
      </c>
      <c r="D73" s="4" t="str">
        <f>+IF('1 Data Material DPP'!E73="—","—",IF('1 Data Material DPP'!E73&lt;&gt;"","Yes","No"))</f>
        <v>No</v>
      </c>
      <c r="E73" s="3">
        <f>+'1 Data Material DPP'!F73</f>
        <v>0</v>
      </c>
      <c r="F73" s="4" t="str">
        <f t="shared" si="1"/>
        <v>Yes</v>
      </c>
      <c r="G73" s="4" t="s">
        <v>124</v>
      </c>
      <c r="H73" s="5" t="s">
        <v>125</v>
      </c>
    </row>
    <row r="74" spans="1:8" ht="15" thickBot="1" x14ac:dyDescent="0.35">
      <c r="A74" s="29"/>
      <c r="B74" s="3" t="str">
        <f>+'1 Data Material DPP'!B74</f>
        <v>Material Comfort</v>
      </c>
      <c r="C74" s="4" t="str">
        <f>IF('1 Data Material DPP'!C74&lt;&gt;"","Yes","No")</f>
        <v>No</v>
      </c>
      <c r="D74" s="4" t="str">
        <f>+IF('1 Data Material DPP'!E74="—","—",IF('1 Data Material DPP'!E74&lt;&gt;"","Yes","No"))</f>
        <v>No</v>
      </c>
      <c r="E74" s="3">
        <f>+'1 Data Material DPP'!F74</f>
        <v>0</v>
      </c>
      <c r="F74" s="4" t="str">
        <f t="shared" si="1"/>
        <v>Yes</v>
      </c>
      <c r="G74" s="4" t="s">
        <v>95</v>
      </c>
      <c r="H74" s="3"/>
    </row>
    <row r="75" spans="1:8" ht="117" customHeight="1" thickBot="1" x14ac:dyDescent="0.35">
      <c r="A75" s="30"/>
      <c r="B75" s="3" t="str">
        <f>+'1 Data Material DPP'!B75</f>
        <v>Craft or community engagement</v>
      </c>
      <c r="C75" s="4" t="str">
        <f>IF('1 Data Material DPP'!C75&lt;&gt;"","Yes","No")</f>
        <v>No</v>
      </c>
      <c r="D75" s="4" t="str">
        <f>+IF('1 Data Material DPP'!E75="—","—",IF('1 Data Material DPP'!E75&lt;&gt;"","Yes","No"))</f>
        <v>No</v>
      </c>
      <c r="E75" s="3">
        <f>+'1 Data Material DPP'!F75</f>
        <v>0</v>
      </c>
      <c r="F75" s="4" t="str">
        <f t="shared" si="1"/>
        <v>Yes</v>
      </c>
      <c r="G75" s="4" t="s">
        <v>95</v>
      </c>
      <c r="H75" s="3" t="s">
        <v>126</v>
      </c>
    </row>
    <row r="76" spans="1:8" ht="28.2" thickBot="1" x14ac:dyDescent="0.35">
      <c r="A76" s="28" t="s">
        <v>10</v>
      </c>
      <c r="B76" s="3" t="str">
        <f>+'1 Data Material DPP'!B76</f>
        <v>Material unit cost</v>
      </c>
      <c r="C76" s="4" t="str">
        <f>IF('1 Data Material DPP'!C76&lt;&gt;"","Yes","No")</f>
        <v>Yes</v>
      </c>
      <c r="D76" s="4" t="str">
        <f>+IF('1 Data Material DPP'!E76="—","—",IF('1 Data Material DPP'!E76&lt;&gt;"","Yes","No"))</f>
        <v>Yes</v>
      </c>
      <c r="E76" s="3" t="str">
        <f>+'1 Data Material DPP'!F76</f>
        <v>Price list provided by manufacturer</v>
      </c>
      <c r="F76" s="4" t="str">
        <f t="shared" si="1"/>
        <v>No</v>
      </c>
      <c r="G76" s="4"/>
      <c r="H76" s="3"/>
    </row>
    <row r="77" spans="1:8" ht="28.2" thickBot="1" x14ac:dyDescent="0.35">
      <c r="A77" s="29"/>
      <c r="B77" s="3" t="str">
        <f>+'1 Data Material DPP'!B77</f>
        <v>Economic circularity benefit</v>
      </c>
      <c r="C77" s="4" t="str">
        <f>IF('1 Data Material DPP'!C77&lt;&gt;"","Yes","No")</f>
        <v>No</v>
      </c>
      <c r="D77" s="4" t="str">
        <f>+IF('1 Data Material DPP'!E77="—","—",IF('1 Data Material DPP'!E77&lt;&gt;"","Yes","No"))</f>
        <v>No</v>
      </c>
      <c r="E77" s="3">
        <f>+'1 Data Material DPP'!F77</f>
        <v>0</v>
      </c>
      <c r="F77" s="4" t="str">
        <f t="shared" si="1"/>
        <v>Yes</v>
      </c>
      <c r="G77" s="4" t="s">
        <v>93</v>
      </c>
      <c r="H77" s="3"/>
    </row>
    <row r="78" spans="1:8" ht="15" thickBot="1" x14ac:dyDescent="0.35">
      <c r="A78" s="30"/>
      <c r="B78" s="3" t="str">
        <f>+'1 Data Material DPP'!B78</f>
        <v>Replacement cost</v>
      </c>
      <c r="C78" s="4" t="str">
        <f>IF('1 Data Material DPP'!C78&lt;&gt;"","Yes","No")</f>
        <v>No</v>
      </c>
      <c r="D78" s="4" t="str">
        <f>+IF('1 Data Material DPP'!E78="—","—",IF('1 Data Material DPP'!E78&lt;&gt;"","Yes","No"))</f>
        <v>No</v>
      </c>
      <c r="E78" s="3">
        <f>+'1 Data Material DPP'!F78</f>
        <v>0</v>
      </c>
      <c r="F78" s="4" t="str">
        <f t="shared" si="1"/>
        <v>Yes</v>
      </c>
      <c r="G78" s="4" t="s">
        <v>95</v>
      </c>
      <c r="H78" s="3"/>
    </row>
    <row r="79" spans="1:8" x14ac:dyDescent="0.3">
      <c r="F79"/>
    </row>
    <row r="80" spans="1:8" x14ac:dyDescent="0.3">
      <c r="F80"/>
    </row>
    <row r="81" spans="6:6" x14ac:dyDescent="0.3">
      <c r="F81"/>
    </row>
    <row r="82" spans="6:6" x14ac:dyDescent="0.3">
      <c r="F82"/>
    </row>
    <row r="83" spans="6:6" x14ac:dyDescent="0.3">
      <c r="F83"/>
    </row>
    <row r="84" spans="6:6" x14ac:dyDescent="0.3">
      <c r="F84"/>
    </row>
    <row r="85" spans="6:6" x14ac:dyDescent="0.3">
      <c r="F85"/>
    </row>
    <row r="86" spans="6:6" x14ac:dyDescent="0.3">
      <c r="F86"/>
    </row>
    <row r="87" spans="6:6" x14ac:dyDescent="0.3">
      <c r="F87"/>
    </row>
    <row r="88" spans="6:6" x14ac:dyDescent="0.3">
      <c r="F88"/>
    </row>
    <row r="89" spans="6:6" x14ac:dyDescent="0.3">
      <c r="F89"/>
    </row>
    <row r="90" spans="6:6" x14ac:dyDescent="0.3">
      <c r="F90"/>
    </row>
    <row r="91" spans="6:6" x14ac:dyDescent="0.3">
      <c r="F91"/>
    </row>
    <row r="92" spans="6:6" x14ac:dyDescent="0.3">
      <c r="F92"/>
    </row>
    <row r="93" spans="6:6" x14ac:dyDescent="0.3">
      <c r="F93"/>
    </row>
    <row r="94" spans="6:6" x14ac:dyDescent="0.3">
      <c r="F94"/>
    </row>
    <row r="95" spans="6:6" x14ac:dyDescent="0.3">
      <c r="F95"/>
    </row>
    <row r="96" spans="6:6" x14ac:dyDescent="0.3">
      <c r="F96"/>
    </row>
    <row r="97" spans="6:6" x14ac:dyDescent="0.3">
      <c r="F97"/>
    </row>
    <row r="98" spans="6:6" x14ac:dyDescent="0.3">
      <c r="F98"/>
    </row>
    <row r="99" spans="6:6" x14ac:dyDescent="0.3">
      <c r="F99"/>
    </row>
    <row r="100" spans="6:6" x14ac:dyDescent="0.3">
      <c r="F100"/>
    </row>
    <row r="101" spans="6:6" x14ac:dyDescent="0.3">
      <c r="F101"/>
    </row>
    <row r="102" spans="6:6" x14ac:dyDescent="0.3">
      <c r="F102"/>
    </row>
    <row r="103" spans="6:6" x14ac:dyDescent="0.3">
      <c r="F103"/>
    </row>
  </sheetData>
  <mergeCells count="8">
    <mergeCell ref="A54:A70"/>
    <mergeCell ref="A71:A75"/>
    <mergeCell ref="A76:A78"/>
    <mergeCell ref="A2:A9"/>
    <mergeCell ref="A10:A25"/>
    <mergeCell ref="A26:A36"/>
    <mergeCell ref="A37:A49"/>
    <mergeCell ref="A50:A53"/>
  </mergeCells>
  <conditionalFormatting sqref="F2:F78">
    <cfRule type="containsText" dxfId="5" priority="3" operator="containsText" text="Yes">
      <formula>NOT(ISERROR(SEARCH("Yes",F2)))</formula>
    </cfRule>
    <cfRule type="containsText" dxfId="4" priority="4" operator="containsText" text="No">
      <formula>NOT(ISERROR(SEARCH("No",F2)))</formula>
    </cfRule>
  </conditionalFormatting>
  <conditionalFormatting sqref="E2">
    <cfRule type="cellIs" dxfId="3" priority="2" operator="between">
      <formula>0</formula>
      <formula>0</formula>
    </cfRule>
  </conditionalFormatting>
  <conditionalFormatting sqref="E2:E78">
    <cfRule type="cellIs" dxfId="2" priority="1" operator="between">
      <formula>0</formula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tabSelected="1" zoomScaleNormal="100" workbookViewId="0">
      <selection activeCell="K8" sqref="K8"/>
    </sheetView>
  </sheetViews>
  <sheetFormatPr baseColWidth="10" defaultRowHeight="14.4" x14ac:dyDescent="0.3"/>
  <cols>
    <col min="1" max="1" width="20.5546875" customWidth="1"/>
    <col min="2" max="2" width="26.6640625" customWidth="1"/>
    <col min="3" max="3" width="22.88671875" customWidth="1"/>
    <col min="4" max="4" width="11.6640625" customWidth="1"/>
    <col min="5" max="5" width="31.6640625" customWidth="1"/>
    <col min="6" max="6" width="28.5546875" customWidth="1"/>
    <col min="7" max="7" width="8.21875" customWidth="1"/>
  </cols>
  <sheetData>
    <row r="1" spans="1:7" ht="15" thickBot="1" x14ac:dyDescent="0.35">
      <c r="A1" s="1" t="s">
        <v>0</v>
      </c>
      <c r="B1" s="2" t="s">
        <v>1</v>
      </c>
      <c r="C1" s="2" t="s">
        <v>14</v>
      </c>
      <c r="D1" s="2" t="s">
        <v>20</v>
      </c>
      <c r="E1" s="2" t="s">
        <v>45</v>
      </c>
      <c r="F1" s="2" t="s">
        <v>66</v>
      </c>
      <c r="G1" s="20" t="s">
        <v>152</v>
      </c>
    </row>
    <row r="2" spans="1:7" ht="15" thickBot="1" x14ac:dyDescent="0.35">
      <c r="A2" s="28" t="s">
        <v>2</v>
      </c>
      <c r="B2" s="3" t="str">
        <f>'[1]DPP Categories'!B2</f>
        <v>Product Name</v>
      </c>
      <c r="C2" s="5" t="s">
        <v>68</v>
      </c>
      <c r="D2" s="4" t="s">
        <v>21</v>
      </c>
      <c r="E2" s="4" t="s">
        <v>21</v>
      </c>
      <c r="F2" s="3" t="s">
        <v>69</v>
      </c>
      <c r="G2" s="4" t="str">
        <f>IF(AND(C2&lt;&gt;"",E2&lt;&gt;""),"Yes","No")</f>
        <v>Yes</v>
      </c>
    </row>
    <row r="3" spans="1:7" ht="15" thickBot="1" x14ac:dyDescent="0.35">
      <c r="A3" s="29"/>
      <c r="B3" s="3" t="str">
        <f>'[1]DPP Categories'!B3</f>
        <v>Product ID</v>
      </c>
      <c r="C3" s="5" t="s">
        <v>12</v>
      </c>
      <c r="D3" s="4" t="s">
        <v>22</v>
      </c>
      <c r="E3" s="4" t="s">
        <v>21</v>
      </c>
      <c r="F3" s="3" t="s">
        <v>67</v>
      </c>
      <c r="G3" s="4" t="str">
        <f t="shared" ref="G3:G66" si="0">IF(AND(C3&lt;&gt;"",E3&lt;&gt;""),"Yes","No")</f>
        <v>Yes</v>
      </c>
    </row>
    <row r="4" spans="1:7" ht="18" customHeight="1" thickBot="1" x14ac:dyDescent="0.35">
      <c r="A4" s="29"/>
      <c r="B4" s="3" t="str">
        <f>'[1]DPP Categories'!B4</f>
        <v>Object number</v>
      </c>
      <c r="C4" s="5"/>
      <c r="D4" s="4" t="s">
        <v>23</v>
      </c>
      <c r="E4" s="4" t="s">
        <v>21</v>
      </c>
      <c r="F4" s="3" t="s">
        <v>3</v>
      </c>
      <c r="G4" s="4" t="str">
        <f t="shared" si="0"/>
        <v>No</v>
      </c>
    </row>
    <row r="5" spans="1:7" ht="44.4" customHeight="1" thickBot="1" x14ac:dyDescent="0.35">
      <c r="A5" s="29"/>
      <c r="B5" s="3" t="str">
        <f>'[1]DPP Categories'!B5</f>
        <v>Material Type</v>
      </c>
      <c r="C5" s="19" t="s">
        <v>149</v>
      </c>
      <c r="D5" s="4" t="s">
        <v>21</v>
      </c>
      <c r="E5" s="4" t="s">
        <v>151</v>
      </c>
      <c r="F5" s="5" t="s">
        <v>150</v>
      </c>
      <c r="G5" s="4" t="str">
        <f t="shared" si="0"/>
        <v>Yes</v>
      </c>
    </row>
    <row r="6" spans="1:7" ht="28.2" thickBot="1" x14ac:dyDescent="0.35">
      <c r="A6" s="29"/>
      <c r="B6" s="3" t="str">
        <f>'[1]DPP Categories'!B6</f>
        <v xml:space="preserve">Manufacturer </v>
      </c>
      <c r="C6" s="5" t="s">
        <v>13</v>
      </c>
      <c r="D6" s="4" t="s">
        <v>21</v>
      </c>
      <c r="E6" s="4" t="s">
        <v>21</v>
      </c>
      <c r="F6" s="3" t="s">
        <v>67</v>
      </c>
      <c r="G6" s="4" t="str">
        <f t="shared" si="0"/>
        <v>Yes</v>
      </c>
    </row>
    <row r="7" spans="1:7" ht="15" thickBot="1" x14ac:dyDescent="0.35">
      <c r="A7" s="29"/>
      <c r="B7" s="3" t="str">
        <f>'[1]DPP Categories'!B10</f>
        <v>Traceability ID</v>
      </c>
      <c r="C7" s="5"/>
      <c r="D7" s="4"/>
      <c r="E7" s="4" t="s">
        <v>21</v>
      </c>
      <c r="F7" s="3"/>
      <c r="G7" s="4" t="str">
        <f t="shared" si="0"/>
        <v>No</v>
      </c>
    </row>
    <row r="8" spans="1:7" ht="15" customHeight="1" thickBot="1" x14ac:dyDescent="0.35">
      <c r="A8" s="29"/>
      <c r="B8" s="3" t="str">
        <f>'[1]DPP Categories'!B11</f>
        <v>Origin</v>
      </c>
      <c r="C8" s="5" t="s">
        <v>15</v>
      </c>
      <c r="D8" s="4" t="s">
        <v>21</v>
      </c>
      <c r="E8" s="4" t="s">
        <v>21</v>
      </c>
      <c r="F8" s="3" t="s">
        <v>67</v>
      </c>
      <c r="G8" s="4" t="str">
        <f t="shared" si="0"/>
        <v>Yes</v>
      </c>
    </row>
    <row r="9" spans="1:7" ht="15" thickBot="1" x14ac:dyDescent="0.35">
      <c r="A9" s="30"/>
      <c r="B9" s="3" t="str">
        <f>'[1]DPP Categories'!B12</f>
        <v>Version number</v>
      </c>
      <c r="C9" s="5" t="s">
        <v>16</v>
      </c>
      <c r="D9" s="4" t="s">
        <v>24</v>
      </c>
      <c r="E9" s="4" t="s">
        <v>46</v>
      </c>
      <c r="F9" s="3" t="s">
        <v>148</v>
      </c>
      <c r="G9" s="4" t="str">
        <f t="shared" si="0"/>
        <v>Yes</v>
      </c>
    </row>
    <row r="10" spans="1:7" ht="28.2" customHeight="1" thickBot="1" x14ac:dyDescent="0.35">
      <c r="A10" s="28" t="s">
        <v>4</v>
      </c>
      <c r="B10" s="3" t="str">
        <f>'[1]DPP Categories'!B13</f>
        <v>Material</v>
      </c>
      <c r="C10" s="5" t="s">
        <v>11</v>
      </c>
      <c r="D10" s="4" t="s">
        <v>21</v>
      </c>
      <c r="E10" s="4" t="s">
        <v>21</v>
      </c>
      <c r="F10" s="3" t="s">
        <v>3</v>
      </c>
      <c r="G10" s="4" t="str">
        <f t="shared" si="0"/>
        <v>Yes</v>
      </c>
    </row>
    <row r="11" spans="1:7" ht="42.6" customHeight="1" thickBot="1" x14ac:dyDescent="0.35">
      <c r="A11" s="29"/>
      <c r="B11" s="3" t="str">
        <f>'[1]DPP Categories'!B15</f>
        <v>Composition</v>
      </c>
      <c r="C11" s="6" t="s">
        <v>17</v>
      </c>
      <c r="D11" s="4" t="s">
        <v>21</v>
      </c>
      <c r="E11" s="4" t="s">
        <v>153</v>
      </c>
      <c r="F11" s="3" t="s">
        <v>154</v>
      </c>
      <c r="G11" s="4" t="str">
        <f>IF(AND(C11&lt;&gt;"",E12&lt;&gt;""),"Yes","No")</f>
        <v>Yes</v>
      </c>
    </row>
    <row r="12" spans="1:7" ht="42" thickBot="1" x14ac:dyDescent="0.35">
      <c r="A12" s="29"/>
      <c r="B12" s="3" t="str">
        <f>'[1]DPP Categories'!B16</f>
        <v>Dimensions</v>
      </c>
      <c r="C12" s="5" t="s">
        <v>18</v>
      </c>
      <c r="D12" s="4" t="s">
        <v>25</v>
      </c>
      <c r="E12" s="4" t="s">
        <v>47</v>
      </c>
      <c r="F12" s="3" t="s">
        <v>75</v>
      </c>
      <c r="G12" s="4" t="str">
        <f>IF(AND(C12&lt;&gt;"",E12&lt;&gt;""),"Yes","No")</f>
        <v>Yes</v>
      </c>
    </row>
    <row r="13" spans="1:7" ht="28.2" thickBot="1" x14ac:dyDescent="0.35">
      <c r="A13" s="29"/>
      <c r="B13" s="3" t="str">
        <f>'[1]DPP Categories'!B17</f>
        <v>Height</v>
      </c>
      <c r="C13" s="5">
        <v>200</v>
      </c>
      <c r="D13" s="4" t="s">
        <v>26</v>
      </c>
      <c r="E13" s="4" t="s">
        <v>160</v>
      </c>
      <c r="F13" s="3" t="s">
        <v>163</v>
      </c>
      <c r="G13" s="4" t="str">
        <f t="shared" si="0"/>
        <v>Yes</v>
      </c>
    </row>
    <row r="14" spans="1:7" ht="28.2" thickBot="1" x14ac:dyDescent="0.35">
      <c r="A14" s="29"/>
      <c r="B14" s="3" t="str">
        <f>'[1]DPP Categories'!B18</f>
        <v>Length</v>
      </c>
      <c r="C14" s="5">
        <v>80</v>
      </c>
      <c r="D14" s="4" t="s">
        <v>26</v>
      </c>
      <c r="E14" s="4" t="s">
        <v>161</v>
      </c>
      <c r="F14" s="3" t="s">
        <v>163</v>
      </c>
      <c r="G14" s="4" t="str">
        <f t="shared" si="0"/>
        <v>Yes</v>
      </c>
    </row>
    <row r="15" spans="1:7" ht="28.2" thickBot="1" x14ac:dyDescent="0.35">
      <c r="A15" s="29"/>
      <c r="B15" s="3" t="str">
        <f>'[1]DPP Categories'!B19</f>
        <v>Width</v>
      </c>
      <c r="C15" s="5">
        <v>500</v>
      </c>
      <c r="D15" s="4" t="s">
        <v>26</v>
      </c>
      <c r="E15" s="4" t="s">
        <v>162</v>
      </c>
      <c r="F15" s="3" t="s">
        <v>163</v>
      </c>
      <c r="G15" s="4" t="str">
        <f t="shared" si="0"/>
        <v>Yes</v>
      </c>
    </row>
    <row r="16" spans="1:7" ht="15" thickBot="1" x14ac:dyDescent="0.35">
      <c r="A16" s="29"/>
      <c r="B16" s="3" t="str">
        <f>'[1]DPP Categories'!B20</f>
        <v>Volume</v>
      </c>
      <c r="C16" s="5">
        <f>+(C13/1000)*(C14/1000)*(C15/1000)</f>
        <v>8.0000000000000002E-3</v>
      </c>
      <c r="D16" s="4" t="s">
        <v>21</v>
      </c>
      <c r="E16" s="4" t="s">
        <v>164</v>
      </c>
      <c r="F16" s="3" t="s">
        <v>147</v>
      </c>
      <c r="G16" s="4" t="str">
        <f t="shared" si="0"/>
        <v>Yes</v>
      </c>
    </row>
    <row r="17" spans="1:7" ht="15" thickBot="1" x14ac:dyDescent="0.35">
      <c r="A17" s="29"/>
      <c r="B17" s="3" t="str">
        <f>'[1]DPP Categories'!B21</f>
        <v>Dry density</v>
      </c>
      <c r="C17" s="5">
        <v>335</v>
      </c>
      <c r="D17" s="4" t="s">
        <v>27</v>
      </c>
      <c r="E17" s="4" t="s">
        <v>48</v>
      </c>
      <c r="F17" s="3" t="s">
        <v>70</v>
      </c>
      <c r="G17" s="4" t="str">
        <f t="shared" si="0"/>
        <v>Yes</v>
      </c>
    </row>
    <row r="18" spans="1:7" ht="15" thickBot="1" x14ac:dyDescent="0.35">
      <c r="A18" s="29"/>
      <c r="B18" s="3" t="str">
        <f>'[1]DPP Categories'!B22</f>
        <v>Equilibrium density</v>
      </c>
      <c r="C18" s="5">
        <v>405</v>
      </c>
      <c r="D18" s="4" t="s">
        <v>27</v>
      </c>
      <c r="E18" s="4" t="s">
        <v>49</v>
      </c>
      <c r="F18" s="3" t="s">
        <v>70</v>
      </c>
      <c r="G18" s="4" t="str">
        <f t="shared" si="0"/>
        <v>Yes</v>
      </c>
    </row>
    <row r="19" spans="1:7" ht="15" thickBot="1" x14ac:dyDescent="0.35">
      <c r="A19" s="29"/>
      <c r="B19" s="3" t="str">
        <f>'[1]DPP Categories'!B23</f>
        <v>Weight</v>
      </c>
      <c r="C19" s="5">
        <f>+C17*C16</f>
        <v>2.68</v>
      </c>
      <c r="D19" s="4" t="s">
        <v>155</v>
      </c>
      <c r="E19" s="21" t="s">
        <v>165</v>
      </c>
      <c r="F19" s="3" t="s">
        <v>147</v>
      </c>
      <c r="G19" s="4" t="str">
        <f t="shared" si="0"/>
        <v>Yes</v>
      </c>
    </row>
    <row r="20" spans="1:7" ht="42" thickBot="1" x14ac:dyDescent="0.35">
      <c r="A20" s="29"/>
      <c r="B20" s="3" t="str">
        <f>'[1]DPP Categories'!B24</f>
        <v>Compressive strength</v>
      </c>
      <c r="C20" s="5">
        <v>0.5</v>
      </c>
      <c r="D20" s="4" t="s">
        <v>28</v>
      </c>
      <c r="E20" s="4" t="s">
        <v>157</v>
      </c>
      <c r="F20" s="3" t="s">
        <v>156</v>
      </c>
      <c r="G20" s="4" t="str">
        <f t="shared" si="0"/>
        <v>Yes</v>
      </c>
    </row>
    <row r="21" spans="1:7" ht="42" thickBot="1" x14ac:dyDescent="0.35">
      <c r="A21" s="29"/>
      <c r="B21" s="3" t="str">
        <f>'[1]DPP Categories'!B25</f>
        <v>Shear strength</v>
      </c>
      <c r="C21" s="5">
        <v>0.12</v>
      </c>
      <c r="D21" s="4" t="s">
        <v>28</v>
      </c>
      <c r="E21" s="4" t="s">
        <v>158</v>
      </c>
      <c r="F21" s="3" t="s">
        <v>159</v>
      </c>
      <c r="G21" s="4" t="str">
        <f t="shared" si="0"/>
        <v>Yes</v>
      </c>
    </row>
    <row r="22" spans="1:7" ht="28.2" thickBot="1" x14ac:dyDescent="0.35">
      <c r="A22" s="29"/>
      <c r="B22" s="3" t="str">
        <f>'[1]DPP Categories'!B31</f>
        <v>Water vapour diffusion
resistance when wet</v>
      </c>
      <c r="C22" s="5">
        <v>3.8</v>
      </c>
      <c r="D22" s="4" t="s">
        <v>29</v>
      </c>
      <c r="E22" s="4" t="s">
        <v>166</v>
      </c>
      <c r="F22" s="3" t="s">
        <v>168</v>
      </c>
      <c r="G22" s="4" t="str">
        <f t="shared" si="0"/>
        <v>Yes</v>
      </c>
    </row>
    <row r="23" spans="1:7" ht="28.2" thickBot="1" x14ac:dyDescent="0.35">
      <c r="A23" s="29"/>
      <c r="B23" s="3" t="str">
        <f>'[1]DPP Categories'!B32</f>
        <v>Water vapour diffusion
resistance when dry</v>
      </c>
      <c r="C23" s="5">
        <v>4.3</v>
      </c>
      <c r="D23" s="4" t="s">
        <v>29</v>
      </c>
      <c r="E23" s="4" t="s">
        <v>167</v>
      </c>
      <c r="F23" s="3" t="s">
        <v>168</v>
      </c>
      <c r="G23" s="4" t="str">
        <f t="shared" si="0"/>
        <v>Yes</v>
      </c>
    </row>
    <row r="24" spans="1:7" ht="28.2" thickBot="1" x14ac:dyDescent="0.35">
      <c r="A24" s="29"/>
      <c r="B24" s="3" t="str">
        <f>'[1]DPP Categories'!B33</f>
        <v>Water vapour absorption resistance</v>
      </c>
      <c r="C24" s="5">
        <v>19</v>
      </c>
      <c r="D24" s="4" t="s">
        <v>30</v>
      </c>
      <c r="E24" s="4" t="s">
        <v>21</v>
      </c>
      <c r="F24" s="3" t="s">
        <v>69</v>
      </c>
      <c r="G24" s="4" t="str">
        <f t="shared" si="0"/>
        <v>Yes</v>
      </c>
    </row>
    <row r="25" spans="1:7" ht="15" thickBot="1" x14ac:dyDescent="0.35">
      <c r="A25" s="30"/>
      <c r="B25" s="3" t="str">
        <f>'[1]DPP Categories'!B34</f>
        <v>Standard compliance</v>
      </c>
      <c r="C25" s="5" t="s">
        <v>19</v>
      </c>
      <c r="D25" s="4" t="s">
        <v>21</v>
      </c>
      <c r="E25" s="4" t="s">
        <v>50</v>
      </c>
      <c r="F25" s="3" t="s">
        <v>67</v>
      </c>
      <c r="G25" s="4" t="str">
        <f t="shared" si="0"/>
        <v>Yes</v>
      </c>
    </row>
    <row r="26" spans="1:7" ht="28.2" customHeight="1" thickBot="1" x14ac:dyDescent="0.35">
      <c r="A26" s="28" t="s">
        <v>5</v>
      </c>
      <c r="B26" s="3" t="str">
        <f>'[1]DPP Categories'!B37</f>
        <v xml:space="preserve">Prefabrication </v>
      </c>
      <c r="C26" s="5" t="s">
        <v>19</v>
      </c>
      <c r="D26" s="4" t="s">
        <v>21</v>
      </c>
      <c r="E26" s="4" t="s">
        <v>50</v>
      </c>
      <c r="F26" s="3" t="s">
        <v>73</v>
      </c>
      <c r="G26" s="4" t="str">
        <f t="shared" si="0"/>
        <v>Yes</v>
      </c>
    </row>
    <row r="27" spans="1:7" ht="15" thickBot="1" x14ac:dyDescent="0.35">
      <c r="A27" s="29"/>
      <c r="B27" s="3" t="str">
        <f>'[1]DPP Categories'!B38</f>
        <v>Prefabrication factor</v>
      </c>
      <c r="C27" s="5">
        <f>+IF(C26="Yes",1,0)</f>
        <v>1</v>
      </c>
      <c r="D27" s="4" t="s">
        <v>31</v>
      </c>
      <c r="E27" s="4" t="s">
        <v>51</v>
      </c>
      <c r="F27" s="3" t="s">
        <v>74</v>
      </c>
      <c r="G27" s="4" t="str">
        <f t="shared" si="0"/>
        <v>Yes</v>
      </c>
    </row>
    <row r="28" spans="1:7" ht="15" customHeight="1" thickBot="1" x14ac:dyDescent="0.35">
      <c r="A28" s="29"/>
      <c r="B28" s="3" t="str">
        <f>'[1]DPP Categories'!B39</f>
        <v>Deconstructability score</v>
      </c>
      <c r="C28" s="5">
        <f>+(0+C27)/2</f>
        <v>0.5</v>
      </c>
      <c r="D28" s="4" t="s">
        <v>31</v>
      </c>
      <c r="E28" s="4" t="s">
        <v>52</v>
      </c>
      <c r="F28" s="3" t="s">
        <v>74</v>
      </c>
      <c r="G28" s="4" t="str">
        <f t="shared" si="0"/>
        <v>Yes</v>
      </c>
    </row>
    <row r="29" spans="1:7" ht="15" thickBot="1" x14ac:dyDescent="0.35">
      <c r="A29" s="29"/>
      <c r="B29" s="3" t="str">
        <f>'[1]DPP Categories'!B40</f>
        <v>Recycling potential</v>
      </c>
      <c r="C29" s="5">
        <v>100</v>
      </c>
      <c r="D29" s="4" t="s">
        <v>32</v>
      </c>
      <c r="E29" s="4" t="s">
        <v>53</v>
      </c>
      <c r="F29" s="3" t="s">
        <v>75</v>
      </c>
      <c r="G29" s="4" t="str">
        <f t="shared" si="0"/>
        <v>Yes</v>
      </c>
    </row>
    <row r="30" spans="1:7" ht="15" thickBot="1" x14ac:dyDescent="0.35">
      <c r="A30" s="29"/>
      <c r="B30" s="3" t="str">
        <f>'[1]DPP Categories'!B41</f>
        <v xml:space="preserve">Reusability </v>
      </c>
      <c r="C30" s="5" t="s">
        <v>57</v>
      </c>
      <c r="D30" s="4" t="s">
        <v>21</v>
      </c>
      <c r="E30" s="4" t="s">
        <v>50</v>
      </c>
      <c r="F30" s="3" t="s">
        <v>70</v>
      </c>
      <c r="G30" s="4" t="str">
        <f t="shared" si="0"/>
        <v>Yes</v>
      </c>
    </row>
    <row r="31" spans="1:7" ht="15" thickBot="1" x14ac:dyDescent="0.35">
      <c r="A31" s="29"/>
      <c r="B31" s="3" t="str">
        <f>'[1]DPP Categories'!B42</f>
        <v>Reusability potential</v>
      </c>
      <c r="C31" s="5">
        <f>+IF(C30="Yes",1,0)</f>
        <v>0</v>
      </c>
      <c r="D31" s="4" t="s">
        <v>31</v>
      </c>
      <c r="E31" s="4" t="s">
        <v>54</v>
      </c>
      <c r="F31" s="3" t="s">
        <v>74</v>
      </c>
      <c r="G31" s="4" t="str">
        <f t="shared" si="0"/>
        <v>Yes</v>
      </c>
    </row>
    <row r="32" spans="1:7" ht="15" thickBot="1" x14ac:dyDescent="0.35">
      <c r="A32" s="29"/>
      <c r="B32" s="3" t="str">
        <f>'[1]DPP Categories'!B43</f>
        <v>Recovery score</v>
      </c>
      <c r="C32" s="5">
        <f>+((C29/100)+C31+(IF(C63="No",1,0))+(IF(C69="No",1,0)))/4</f>
        <v>0.5</v>
      </c>
      <c r="D32" s="4" t="s">
        <v>31</v>
      </c>
      <c r="E32" s="4" t="s">
        <v>52</v>
      </c>
      <c r="F32" s="3" t="s">
        <v>74</v>
      </c>
      <c r="G32" s="4" t="str">
        <f t="shared" si="0"/>
        <v>Yes</v>
      </c>
    </row>
    <row r="33" spans="1:7" ht="15" thickBot="1" x14ac:dyDescent="0.35">
      <c r="A33" s="29"/>
      <c r="B33" s="3" t="str">
        <f>'[1]DPP Categories'!B44</f>
        <v>Disassembly potential</v>
      </c>
      <c r="C33" s="5">
        <v>3</v>
      </c>
      <c r="D33" s="4" t="s">
        <v>31</v>
      </c>
      <c r="E33" s="4" t="s">
        <v>55</v>
      </c>
      <c r="F33" s="3" t="s">
        <v>76</v>
      </c>
      <c r="G33" s="4" t="str">
        <f t="shared" si="0"/>
        <v>Yes</v>
      </c>
    </row>
    <row r="34" spans="1:7" ht="55.8" thickBot="1" x14ac:dyDescent="0.35">
      <c r="A34" s="29"/>
      <c r="B34" s="3" t="str">
        <f>'[1]DPP Categories'!B45</f>
        <v>Disassembly instructions</v>
      </c>
      <c r="C34" s="5" t="s">
        <v>77</v>
      </c>
      <c r="D34" s="4" t="s">
        <v>21</v>
      </c>
      <c r="E34" s="4" t="s">
        <v>184</v>
      </c>
      <c r="F34" s="3" t="s">
        <v>185</v>
      </c>
      <c r="G34" s="4" t="str">
        <f t="shared" si="0"/>
        <v>Yes</v>
      </c>
    </row>
    <row r="35" spans="1:7" ht="69.599999999999994" thickBot="1" x14ac:dyDescent="0.35">
      <c r="A35" s="29"/>
      <c r="B35" s="3" t="str">
        <f>'[1]DPP Categories'!B46</f>
        <v>Secondary use scenarios</v>
      </c>
      <c r="C35" s="5" t="s">
        <v>78</v>
      </c>
      <c r="D35" s="4" t="s">
        <v>21</v>
      </c>
      <c r="E35" s="4" t="s">
        <v>186</v>
      </c>
      <c r="F35" s="3" t="s">
        <v>187</v>
      </c>
      <c r="G35" s="4" t="str">
        <f t="shared" si="0"/>
        <v>Yes</v>
      </c>
    </row>
    <row r="36" spans="1:7" ht="42" thickBot="1" x14ac:dyDescent="0.35">
      <c r="A36" s="30"/>
      <c r="B36" s="3" t="str">
        <f>'[1]DPP Categories'!B47</f>
        <v>End-of-life recommendation</v>
      </c>
      <c r="C36" s="3" t="s">
        <v>79</v>
      </c>
      <c r="D36" s="4" t="s">
        <v>21</v>
      </c>
      <c r="E36" s="4" t="s">
        <v>188</v>
      </c>
      <c r="F36" s="3" t="s">
        <v>189</v>
      </c>
      <c r="G36" s="4" t="str">
        <f t="shared" si="0"/>
        <v>Yes</v>
      </c>
    </row>
    <row r="37" spans="1:7" ht="42" customHeight="1" thickBot="1" x14ac:dyDescent="0.35">
      <c r="A37" s="28" t="s">
        <v>6</v>
      </c>
      <c r="B37" s="3" t="str">
        <f>'[1]DPP Categories'!B48</f>
        <v xml:space="preserve">EPD </v>
      </c>
      <c r="C37" s="5" t="s">
        <v>19</v>
      </c>
      <c r="D37" s="4" t="s">
        <v>21</v>
      </c>
      <c r="E37" s="4" t="s">
        <v>50</v>
      </c>
      <c r="F37" s="5" t="s">
        <v>81</v>
      </c>
      <c r="G37" s="4" t="str">
        <f t="shared" si="0"/>
        <v>Yes</v>
      </c>
    </row>
    <row r="38" spans="1:7" ht="77.400000000000006" customHeight="1" thickBot="1" x14ac:dyDescent="0.35">
      <c r="A38" s="29"/>
      <c r="B38" s="3" t="str">
        <f>'[1]DPP Categories'!B49</f>
        <v>Link EPD</v>
      </c>
      <c r="C38" s="9" t="s">
        <v>80</v>
      </c>
      <c r="D38" s="4" t="s">
        <v>33</v>
      </c>
      <c r="E38" s="4" t="s">
        <v>21</v>
      </c>
      <c r="F38" s="5" t="s">
        <v>81</v>
      </c>
      <c r="G38" s="4" t="str">
        <f t="shared" si="0"/>
        <v>Yes</v>
      </c>
    </row>
    <row r="39" spans="1:7" ht="57.6" customHeight="1" thickBot="1" x14ac:dyDescent="0.35">
      <c r="A39" s="29"/>
      <c r="B39" s="3" t="str">
        <f>'[1]DPP Categories'!B50</f>
        <v>Global Warming Potential (GWP)</v>
      </c>
      <c r="C39" s="5">
        <f>167.4*C16</f>
        <v>1.3392000000000002</v>
      </c>
      <c r="D39" s="4" t="s">
        <v>34</v>
      </c>
      <c r="E39" s="24" t="s">
        <v>205</v>
      </c>
      <c r="F39" s="3" t="s">
        <v>206</v>
      </c>
      <c r="G39" s="4" t="str">
        <f t="shared" si="0"/>
        <v>Yes</v>
      </c>
    </row>
    <row r="40" spans="1:7" ht="55.8" thickBot="1" x14ac:dyDescent="0.35">
      <c r="A40" s="29"/>
      <c r="B40" s="3" t="str">
        <f>'[1]DPP Categories'!B51</f>
        <v>Primary Energy Intensity (PEI) Renewable</v>
      </c>
      <c r="C40" s="10">
        <f>2301.09*C16</f>
        <v>18.408720000000002</v>
      </c>
      <c r="D40" s="4" t="s">
        <v>35</v>
      </c>
      <c r="E40" s="24" t="s">
        <v>207</v>
      </c>
      <c r="F40" s="3" t="s">
        <v>209</v>
      </c>
      <c r="G40" s="4" t="str">
        <f t="shared" si="0"/>
        <v>Yes</v>
      </c>
    </row>
    <row r="41" spans="1:7" ht="58.8" customHeight="1" thickBot="1" x14ac:dyDescent="0.35">
      <c r="A41" s="29"/>
      <c r="B41" s="3" t="str">
        <f>'[1]DPP Categories'!B52</f>
        <v>Primary Energy Intensity (PEI) Non-renewable</v>
      </c>
      <c r="C41" s="10">
        <f>2128.36*C16</f>
        <v>17.026880000000002</v>
      </c>
      <c r="D41" s="4" t="s">
        <v>35</v>
      </c>
      <c r="E41" s="24" t="s">
        <v>208</v>
      </c>
      <c r="F41" s="3" t="s">
        <v>209</v>
      </c>
      <c r="G41" s="4" t="str">
        <f t="shared" si="0"/>
        <v>Yes</v>
      </c>
    </row>
    <row r="42" spans="1:7" ht="69.599999999999994" thickBot="1" x14ac:dyDescent="0.35">
      <c r="A42" s="29"/>
      <c r="B42" s="3" t="str">
        <f>'[1]DPP Categories'!B53</f>
        <v>Acidification Potential (AP)</v>
      </c>
      <c r="C42" s="11">
        <f>+(0.9974*0.03125)*C16</f>
        <v>2.4935000000000002E-4</v>
      </c>
      <c r="D42" s="4" t="s">
        <v>36</v>
      </c>
      <c r="E42" s="25" t="s">
        <v>210</v>
      </c>
      <c r="F42" s="3" t="s">
        <v>211</v>
      </c>
      <c r="G42" s="4" t="str">
        <f t="shared" si="0"/>
        <v>Yes</v>
      </c>
    </row>
    <row r="43" spans="1:7" ht="69.599999999999994" thickBot="1" x14ac:dyDescent="0.35">
      <c r="A43" s="29"/>
      <c r="B43" s="3" t="str">
        <f>'[1]DPP Categories'!B54</f>
        <v>Embodied carbon</v>
      </c>
      <c r="C43" s="5">
        <f>-218*C16</f>
        <v>-1.744</v>
      </c>
      <c r="D43" s="4" t="s">
        <v>34</v>
      </c>
      <c r="E43" s="24" t="s">
        <v>212</v>
      </c>
      <c r="F43" s="3" t="s">
        <v>215</v>
      </c>
      <c r="G43" s="4" t="str">
        <f t="shared" si="0"/>
        <v>Yes</v>
      </c>
    </row>
    <row r="44" spans="1:7" ht="69.599999999999994" thickBot="1" x14ac:dyDescent="0.35">
      <c r="A44" s="29"/>
      <c r="B44" s="3" t="str">
        <f>'[1]DPP Categories'!B55</f>
        <v>Biogenic carbon storage</v>
      </c>
      <c r="C44" s="5">
        <f>56.1*C16</f>
        <v>0.44880000000000003</v>
      </c>
      <c r="D44" s="4" t="s">
        <v>34</v>
      </c>
      <c r="E44" s="4" t="s">
        <v>213</v>
      </c>
      <c r="F44" s="3" t="s">
        <v>216</v>
      </c>
      <c r="G44" s="4" t="str">
        <f t="shared" si="0"/>
        <v>Yes</v>
      </c>
    </row>
    <row r="45" spans="1:7" ht="55.8" thickBot="1" x14ac:dyDescent="0.35">
      <c r="A45" s="29"/>
      <c r="B45" s="3" t="str">
        <f>'[1]DPP Categories'!B56</f>
        <v>End-of-life emissions</v>
      </c>
      <c r="C45" s="5">
        <f>222.15*C16</f>
        <v>1.7772000000000001</v>
      </c>
      <c r="D45" s="4" t="s">
        <v>34</v>
      </c>
      <c r="E45" s="4" t="s">
        <v>214</v>
      </c>
      <c r="F45" s="3" t="s">
        <v>217</v>
      </c>
      <c r="G45" s="4" t="str">
        <f t="shared" si="0"/>
        <v>Yes</v>
      </c>
    </row>
    <row r="46" spans="1:7" ht="15" thickBot="1" x14ac:dyDescent="0.35">
      <c r="A46" s="29"/>
      <c r="B46" s="3" t="str">
        <f>'[1]DPP Categories'!B57</f>
        <v>Circularity index</v>
      </c>
      <c r="C46" s="12">
        <f>+(0.7)*100</f>
        <v>70</v>
      </c>
      <c r="D46" s="4" t="s">
        <v>32</v>
      </c>
      <c r="E46" s="4" t="s">
        <v>56</v>
      </c>
      <c r="F46" s="3" t="s">
        <v>76</v>
      </c>
      <c r="G46" s="4" t="str">
        <f t="shared" si="0"/>
        <v>Yes</v>
      </c>
    </row>
    <row r="47" spans="1:7" ht="28.2" thickBot="1" x14ac:dyDescent="0.35">
      <c r="A47" s="29"/>
      <c r="B47" s="3" t="str">
        <f>'[1]DPP Categories'!B58</f>
        <v>Normalized environmental performance</v>
      </c>
      <c r="C47" s="13">
        <f>1-(C39/(167.4))</f>
        <v>0.99199999999999999</v>
      </c>
      <c r="D47" s="4" t="s">
        <v>31</v>
      </c>
      <c r="E47" s="4" t="s">
        <v>52</v>
      </c>
      <c r="F47" s="3" t="s">
        <v>74</v>
      </c>
      <c r="G47" s="4" t="str">
        <f t="shared" si="0"/>
        <v>Yes</v>
      </c>
    </row>
    <row r="48" spans="1:7" ht="15" thickBot="1" x14ac:dyDescent="0.35">
      <c r="A48" s="29"/>
      <c r="B48" s="3" t="str">
        <f>'[1]DPP Categories'!B59</f>
        <v>Secondary life weighting</v>
      </c>
      <c r="C48" s="5">
        <f>+C32*(1-0.5)+0.5</f>
        <v>0.75</v>
      </c>
      <c r="D48" s="4" t="s">
        <v>31</v>
      </c>
      <c r="E48" s="4" t="s">
        <v>52</v>
      </c>
      <c r="F48" s="3" t="s">
        <v>74</v>
      </c>
      <c r="G48" s="4" t="str">
        <f t="shared" si="0"/>
        <v>Yes</v>
      </c>
    </row>
    <row r="49" spans="1:7" ht="15" thickBot="1" x14ac:dyDescent="0.35">
      <c r="A49" s="30"/>
      <c r="B49" s="3" t="str">
        <f>'[1]DPP Categories'!B60</f>
        <v>Environmental score</v>
      </c>
      <c r="C49" s="13">
        <f>+C47*C48</f>
        <v>0.74399999999999999</v>
      </c>
      <c r="D49" s="4" t="s">
        <v>31</v>
      </c>
      <c r="E49" s="4" t="s">
        <v>52</v>
      </c>
      <c r="F49" s="3" t="s">
        <v>74</v>
      </c>
      <c r="G49" s="4" t="str">
        <f t="shared" si="0"/>
        <v>Yes</v>
      </c>
    </row>
    <row r="50" spans="1:7" ht="70.8" customHeight="1" thickBot="1" x14ac:dyDescent="0.35">
      <c r="A50" s="28" t="s">
        <v>7</v>
      </c>
      <c r="B50" s="3" t="str">
        <f>'[1]DPP Categories'!B61</f>
        <v>Service life</v>
      </c>
      <c r="C50" s="5">
        <v>100</v>
      </c>
      <c r="D50" s="4" t="s">
        <v>37</v>
      </c>
      <c r="E50" s="4" t="s">
        <v>169</v>
      </c>
      <c r="F50" s="3" t="s">
        <v>170</v>
      </c>
      <c r="G50" s="4" t="str">
        <f t="shared" si="0"/>
        <v>Yes</v>
      </c>
    </row>
    <row r="51" spans="1:7" ht="43.8" customHeight="1" thickBot="1" x14ac:dyDescent="0.35">
      <c r="A51" s="29"/>
      <c r="B51" s="3" t="str">
        <f>'[1]DPP Categories'!B63</f>
        <v>Soursing distance</v>
      </c>
      <c r="C51" s="5" t="s">
        <v>128</v>
      </c>
      <c r="D51" s="4" t="s">
        <v>44</v>
      </c>
      <c r="E51" s="4" t="s">
        <v>171</v>
      </c>
      <c r="F51" s="5" t="s">
        <v>172</v>
      </c>
      <c r="G51" s="4" t="str">
        <f t="shared" si="0"/>
        <v>Yes</v>
      </c>
    </row>
    <row r="52" spans="1:7" ht="15" thickBot="1" x14ac:dyDescent="0.35">
      <c r="A52" s="29"/>
      <c r="B52" s="3" t="str">
        <f>'[1]DPP Categories'!B64</f>
        <v>Warranty</v>
      </c>
      <c r="C52" s="5" t="s">
        <v>57</v>
      </c>
      <c r="D52" s="4" t="s">
        <v>21</v>
      </c>
      <c r="E52" s="4" t="s">
        <v>50</v>
      </c>
      <c r="F52" s="5" t="s">
        <v>81</v>
      </c>
      <c r="G52" s="4" t="str">
        <f t="shared" si="0"/>
        <v>Yes</v>
      </c>
    </row>
    <row r="53" spans="1:7" ht="15" thickBot="1" x14ac:dyDescent="0.35">
      <c r="A53" s="30"/>
      <c r="B53" s="3" t="str">
        <f>'[1]DPP Categories'!B66</f>
        <v>Update history</v>
      </c>
      <c r="C53" s="5"/>
      <c r="D53" s="4" t="s">
        <v>38</v>
      </c>
      <c r="E53" s="4" t="s">
        <v>21</v>
      </c>
      <c r="F53" s="3"/>
      <c r="G53" s="4" t="str">
        <f t="shared" si="0"/>
        <v>No</v>
      </c>
    </row>
    <row r="54" spans="1:7" ht="15" customHeight="1" thickBot="1" x14ac:dyDescent="0.35">
      <c r="A54" s="28" t="s">
        <v>8</v>
      </c>
      <c r="B54" s="3" t="str">
        <f>'[1]DPP Categories'!B67</f>
        <v xml:space="preserve">HPD </v>
      </c>
      <c r="C54" s="5" t="s">
        <v>57</v>
      </c>
      <c r="D54" s="4" t="s">
        <v>21</v>
      </c>
      <c r="E54" s="4" t="s">
        <v>50</v>
      </c>
      <c r="F54" s="5" t="s">
        <v>81</v>
      </c>
      <c r="G54" s="4" t="str">
        <f t="shared" si="0"/>
        <v>Yes</v>
      </c>
    </row>
    <row r="55" spans="1:7" ht="15" thickBot="1" x14ac:dyDescent="0.35">
      <c r="A55" s="29"/>
      <c r="B55" s="3" t="str">
        <f>'[1]DPP Categories'!B68</f>
        <v>Link HPD</v>
      </c>
      <c r="C55" s="4" t="s">
        <v>21</v>
      </c>
      <c r="D55" s="4" t="s">
        <v>33</v>
      </c>
      <c r="E55" s="4" t="s">
        <v>21</v>
      </c>
      <c r="F55" s="5" t="s">
        <v>81</v>
      </c>
      <c r="G55" s="4" t="str">
        <f t="shared" si="0"/>
        <v>Yes</v>
      </c>
    </row>
    <row r="56" spans="1:7" ht="28.2" thickBot="1" x14ac:dyDescent="0.35">
      <c r="A56" s="29"/>
      <c r="B56" s="3" t="str">
        <f>'[1]DPP Categories'!B69</f>
        <v>Hazard classification</v>
      </c>
      <c r="C56" s="3" t="s">
        <v>58</v>
      </c>
      <c r="D56" s="4" t="s">
        <v>21</v>
      </c>
      <c r="E56" s="4" t="s">
        <v>65</v>
      </c>
      <c r="F56" s="3" t="s">
        <v>82</v>
      </c>
      <c r="G56" s="4" t="str">
        <f t="shared" si="0"/>
        <v>Yes</v>
      </c>
    </row>
    <row r="57" spans="1:7" ht="83.4" thickBot="1" x14ac:dyDescent="0.35">
      <c r="A57" s="29"/>
      <c r="B57" s="3" t="str">
        <f>'[1]DPP Categories'!B70</f>
        <v>PM</v>
      </c>
      <c r="C57" s="11">
        <f>+(0.0000284)*$C$16</f>
        <v>2.272E-7</v>
      </c>
      <c r="D57" s="5" t="s">
        <v>39</v>
      </c>
      <c r="E57" s="4" t="s">
        <v>218</v>
      </c>
      <c r="F57" s="3" t="s">
        <v>224</v>
      </c>
      <c r="G57" s="4" t="str">
        <f t="shared" si="0"/>
        <v>Yes</v>
      </c>
    </row>
    <row r="58" spans="1:7" ht="87.6" customHeight="1" thickBot="1" x14ac:dyDescent="0.35">
      <c r="A58" s="29"/>
      <c r="B58" s="3" t="str">
        <f>'[1]DPP Categories'!B71</f>
        <v>IRP</v>
      </c>
      <c r="C58" s="14">
        <f>+(2.03)*$C$16</f>
        <v>1.6239999999999997E-2</v>
      </c>
      <c r="D58" s="5" t="s">
        <v>40</v>
      </c>
      <c r="E58" s="4" t="s">
        <v>219</v>
      </c>
      <c r="F58" s="3" t="s">
        <v>224</v>
      </c>
      <c r="G58" s="4" t="str">
        <f t="shared" si="0"/>
        <v>Yes</v>
      </c>
    </row>
    <row r="59" spans="1:7" ht="83.4" thickBot="1" x14ac:dyDescent="0.35">
      <c r="A59" s="29"/>
      <c r="B59" s="3" t="str">
        <f>'[1]DPP Categories'!B72</f>
        <v>ETP-fw</v>
      </c>
      <c r="C59" s="10">
        <f>+(1533.321)*$C$16</f>
        <v>12.266567999999999</v>
      </c>
      <c r="D59" s="5" t="s">
        <v>41</v>
      </c>
      <c r="E59" s="26" t="s">
        <v>220</v>
      </c>
      <c r="F59" s="3" t="s">
        <v>224</v>
      </c>
      <c r="G59" s="4" t="str">
        <f t="shared" si="0"/>
        <v>Yes</v>
      </c>
    </row>
    <row r="60" spans="1:7" ht="85.2" customHeight="1" thickBot="1" x14ac:dyDescent="0.35">
      <c r="A60" s="29"/>
      <c r="B60" s="3" t="str">
        <f>'[1]DPP Categories'!B73</f>
        <v>HTP-c</v>
      </c>
      <c r="C60" s="11">
        <f>+(0.0000000883856)*$C$16</f>
        <v>7.0708479999999998E-10</v>
      </c>
      <c r="D60" s="5" t="s">
        <v>42</v>
      </c>
      <c r="E60" s="4" t="s">
        <v>221</v>
      </c>
      <c r="F60" s="3" t="s">
        <v>224</v>
      </c>
      <c r="G60" s="4" t="str">
        <f t="shared" si="0"/>
        <v>Yes</v>
      </c>
    </row>
    <row r="61" spans="1:7" ht="83.4" customHeight="1" thickBot="1" x14ac:dyDescent="0.35">
      <c r="A61" s="29"/>
      <c r="B61" s="3" t="str">
        <f>'[1]DPP Categories'!B74</f>
        <v>HTP-nc</v>
      </c>
      <c r="C61" s="11">
        <f>+(0.00000288667)*$C$16</f>
        <v>2.3093359999999999E-8</v>
      </c>
      <c r="D61" s="5" t="s">
        <v>42</v>
      </c>
      <c r="E61" s="4" t="s">
        <v>222</v>
      </c>
      <c r="F61" s="3" t="s">
        <v>224</v>
      </c>
      <c r="G61" s="4" t="str">
        <f t="shared" si="0"/>
        <v>Yes</v>
      </c>
    </row>
    <row r="62" spans="1:7" ht="87.6" customHeight="1" thickBot="1" x14ac:dyDescent="0.35">
      <c r="A62" s="29"/>
      <c r="B62" s="3" t="str">
        <f>'[1]DPP Categories'!B75</f>
        <v>SQP</v>
      </c>
      <c r="C62" s="5">
        <f>+(7840)*$C$16</f>
        <v>62.72</v>
      </c>
      <c r="D62" s="4" t="s">
        <v>21</v>
      </c>
      <c r="E62" s="4" t="s">
        <v>223</v>
      </c>
      <c r="F62" s="3" t="s">
        <v>224</v>
      </c>
      <c r="G62" s="4" t="str">
        <f t="shared" si="0"/>
        <v>Yes</v>
      </c>
    </row>
    <row r="63" spans="1:7" ht="15" thickBot="1" x14ac:dyDescent="0.35">
      <c r="A63" s="29"/>
      <c r="B63" s="3" t="str">
        <f>'[1]DPP Categories'!B76</f>
        <v>Toxicity</v>
      </c>
      <c r="C63" s="5" t="s">
        <v>57</v>
      </c>
      <c r="D63" s="4" t="s">
        <v>21</v>
      </c>
      <c r="E63" s="4" t="s">
        <v>50</v>
      </c>
      <c r="F63" s="3" t="s">
        <v>69</v>
      </c>
      <c r="G63" s="4" t="str">
        <f t="shared" si="0"/>
        <v>Yes</v>
      </c>
    </row>
    <row r="64" spans="1:7" ht="28.2" thickBot="1" x14ac:dyDescent="0.35">
      <c r="A64" s="29"/>
      <c r="B64" s="3" t="str">
        <f>'[1]DPP Categories'!B77</f>
        <v>Class</v>
      </c>
      <c r="C64" s="7" t="s">
        <v>59</v>
      </c>
      <c r="D64" s="4" t="s">
        <v>21</v>
      </c>
      <c r="E64" s="22" t="s">
        <v>173</v>
      </c>
      <c r="F64" s="3" t="s">
        <v>177</v>
      </c>
      <c r="G64" s="4" t="str">
        <f t="shared" si="0"/>
        <v>Yes</v>
      </c>
    </row>
    <row r="65" spans="1:7" ht="28.2" thickBot="1" x14ac:dyDescent="0.35">
      <c r="A65" s="29"/>
      <c r="B65" s="3" t="str">
        <f>'[1]DPP Categories'!B78</f>
        <v>s-subclass</v>
      </c>
      <c r="C65" s="7" t="s">
        <v>60</v>
      </c>
      <c r="D65" s="4" t="s">
        <v>21</v>
      </c>
      <c r="E65" s="22" t="s">
        <v>174</v>
      </c>
      <c r="F65" s="3" t="s">
        <v>177</v>
      </c>
      <c r="G65" s="4" t="str">
        <f t="shared" si="0"/>
        <v>Yes</v>
      </c>
    </row>
    <row r="66" spans="1:7" ht="28.2" thickBot="1" x14ac:dyDescent="0.35">
      <c r="A66" s="29"/>
      <c r="B66" s="3" t="str">
        <f>'[1]DPP Categories'!B79</f>
        <v>d_subclass</v>
      </c>
      <c r="C66" s="7" t="s">
        <v>61</v>
      </c>
      <c r="D66" s="4" t="s">
        <v>21</v>
      </c>
      <c r="E66" s="23" t="s">
        <v>175</v>
      </c>
      <c r="F66" s="3" t="s">
        <v>177</v>
      </c>
      <c r="G66" s="4" t="str">
        <f t="shared" si="0"/>
        <v>Yes</v>
      </c>
    </row>
    <row r="67" spans="1:7" ht="42" thickBot="1" x14ac:dyDescent="0.35">
      <c r="A67" s="29"/>
      <c r="B67" s="3" t="str">
        <f>'[1]DPP Categories'!B80</f>
        <v>Fire resistance</v>
      </c>
      <c r="C67" s="7" t="s">
        <v>62</v>
      </c>
      <c r="D67" s="4" t="s">
        <v>21</v>
      </c>
      <c r="E67" s="22" t="s">
        <v>176</v>
      </c>
      <c r="F67" s="3" t="s">
        <v>177</v>
      </c>
      <c r="G67" s="4" t="str">
        <f t="shared" ref="G67:G86" si="1">IF(AND(C67&lt;&gt;"",E67&lt;&gt;""),"Yes","No")</f>
        <v>Yes</v>
      </c>
    </row>
    <row r="68" spans="1:7" ht="15" thickBot="1" x14ac:dyDescent="0.35">
      <c r="A68" s="29"/>
      <c r="B68" s="3" t="str">
        <f>'[1]DPP Categories'!B81</f>
        <v xml:space="preserve">Coatings </v>
      </c>
      <c r="C68" s="7" t="s">
        <v>19</v>
      </c>
      <c r="D68" s="4" t="s">
        <v>21</v>
      </c>
      <c r="E68" s="4" t="s">
        <v>50</v>
      </c>
      <c r="F68" s="3" t="s">
        <v>69</v>
      </c>
      <c r="G68" s="4" t="str">
        <f t="shared" si="1"/>
        <v>Yes</v>
      </c>
    </row>
    <row r="69" spans="1:7" ht="64.8" customHeight="1" thickBot="1" x14ac:dyDescent="0.35">
      <c r="A69" s="29"/>
      <c r="B69" s="3" t="str">
        <f>'[1]DPP Categories'!B82</f>
        <v>Coatings or treatments</v>
      </c>
      <c r="C69" s="3" t="s">
        <v>178</v>
      </c>
      <c r="D69" s="4" t="s">
        <v>21</v>
      </c>
      <c r="E69" s="4" t="s">
        <v>179</v>
      </c>
      <c r="F69" s="3" t="s">
        <v>180</v>
      </c>
      <c r="G69" s="4" t="str">
        <f t="shared" si="1"/>
        <v>Yes</v>
      </c>
    </row>
    <row r="70" spans="1:7" ht="42" thickBot="1" x14ac:dyDescent="0.35">
      <c r="A70" s="30"/>
      <c r="B70" s="3" t="str">
        <f>'[1]DPP Categories'!B84</f>
        <v>Compliance certificates</v>
      </c>
      <c r="C70" s="5" t="s">
        <v>19</v>
      </c>
      <c r="D70" s="4" t="s">
        <v>21</v>
      </c>
      <c r="E70" s="4" t="s">
        <v>50</v>
      </c>
      <c r="F70" s="3" t="s">
        <v>84</v>
      </c>
      <c r="G70" s="4" t="str">
        <f t="shared" si="1"/>
        <v>Yes</v>
      </c>
    </row>
    <row r="71" spans="1:7" ht="42" thickBot="1" x14ac:dyDescent="0.35">
      <c r="A71" s="28" t="s">
        <v>9</v>
      </c>
      <c r="B71" s="15" t="s">
        <v>130</v>
      </c>
      <c r="C71" s="5" t="s">
        <v>190</v>
      </c>
      <c r="D71" s="4" t="s">
        <v>21</v>
      </c>
      <c r="E71" s="4" t="s">
        <v>194</v>
      </c>
      <c r="F71" s="3" t="s">
        <v>195</v>
      </c>
      <c r="G71" s="4" t="str">
        <f t="shared" si="1"/>
        <v>Yes</v>
      </c>
    </row>
    <row r="72" spans="1:7" ht="42" thickBot="1" x14ac:dyDescent="0.35">
      <c r="A72" s="29"/>
      <c r="B72" s="15" t="s">
        <v>131</v>
      </c>
      <c r="C72" s="5" t="s">
        <v>191</v>
      </c>
      <c r="D72" s="4" t="s">
        <v>21</v>
      </c>
      <c r="E72" s="4" t="s">
        <v>196</v>
      </c>
      <c r="F72" s="3" t="s">
        <v>197</v>
      </c>
      <c r="G72" s="4" t="str">
        <f t="shared" si="1"/>
        <v>Yes</v>
      </c>
    </row>
    <row r="73" spans="1:7" ht="28.2" thickBot="1" x14ac:dyDescent="0.35">
      <c r="A73" s="29"/>
      <c r="B73" s="15" t="s">
        <v>132</v>
      </c>
      <c r="C73" s="5" t="s">
        <v>192</v>
      </c>
      <c r="D73" s="4" t="s">
        <v>21</v>
      </c>
      <c r="E73" s="4" t="s">
        <v>198</v>
      </c>
      <c r="F73" s="3" t="s">
        <v>199</v>
      </c>
      <c r="G73" s="4" t="str">
        <f t="shared" si="1"/>
        <v>Yes</v>
      </c>
    </row>
    <row r="74" spans="1:7" ht="42" thickBot="1" x14ac:dyDescent="0.35">
      <c r="A74" s="29"/>
      <c r="B74" s="15" t="s">
        <v>133</v>
      </c>
      <c r="C74" s="5" t="s">
        <v>193</v>
      </c>
      <c r="D74" s="4" t="s">
        <v>21</v>
      </c>
      <c r="E74" s="4" t="s">
        <v>200</v>
      </c>
      <c r="F74" s="3" t="s">
        <v>201</v>
      </c>
      <c r="G74" s="4" t="str">
        <f t="shared" si="1"/>
        <v>Yes</v>
      </c>
    </row>
    <row r="75" spans="1:7" ht="42.6" customHeight="1" thickBot="1" x14ac:dyDescent="0.35">
      <c r="A75" s="29"/>
      <c r="B75" s="15" t="s">
        <v>134</v>
      </c>
      <c r="C75" s="5" t="s">
        <v>140</v>
      </c>
      <c r="D75" s="4" t="s">
        <v>21</v>
      </c>
      <c r="E75" s="5" t="s">
        <v>144</v>
      </c>
      <c r="F75" s="3" t="s">
        <v>183</v>
      </c>
      <c r="G75" s="4" t="str">
        <f t="shared" si="1"/>
        <v>Yes</v>
      </c>
    </row>
    <row r="76" spans="1:7" ht="41.4" customHeight="1" thickBot="1" x14ac:dyDescent="0.35">
      <c r="A76" s="29"/>
      <c r="B76" s="15" t="s">
        <v>135</v>
      </c>
      <c r="C76" s="5" t="s">
        <v>141</v>
      </c>
      <c r="D76" s="4" t="s">
        <v>21</v>
      </c>
      <c r="E76" s="5" t="s">
        <v>145</v>
      </c>
      <c r="F76" s="3" t="s">
        <v>183</v>
      </c>
      <c r="G76" s="4" t="str">
        <f t="shared" si="1"/>
        <v>Yes</v>
      </c>
    </row>
    <row r="77" spans="1:7" ht="42" customHeight="1" thickBot="1" x14ac:dyDescent="0.35">
      <c r="A77" s="29"/>
      <c r="B77" s="15" t="s">
        <v>136</v>
      </c>
      <c r="C77" s="5" t="s">
        <v>142</v>
      </c>
      <c r="D77" s="4" t="s">
        <v>21</v>
      </c>
      <c r="E77" s="5" t="s">
        <v>146</v>
      </c>
      <c r="F77" s="3" t="s">
        <v>183</v>
      </c>
      <c r="G77" s="4" t="str">
        <f t="shared" si="1"/>
        <v>Yes</v>
      </c>
    </row>
    <row r="78" spans="1:7" ht="19.2" customHeight="1" thickBot="1" x14ac:dyDescent="0.35">
      <c r="A78" s="29"/>
      <c r="B78" s="16" t="s">
        <v>137</v>
      </c>
      <c r="C78" s="17">
        <v>4</v>
      </c>
      <c r="D78" s="4" t="s">
        <v>31</v>
      </c>
      <c r="E78" s="4" t="s">
        <v>143</v>
      </c>
      <c r="F78" s="3" t="s">
        <v>124</v>
      </c>
      <c r="G78" s="4" t="str">
        <f t="shared" si="1"/>
        <v>Yes</v>
      </c>
    </row>
    <row r="79" spans="1:7" ht="19.2" customHeight="1" thickBot="1" x14ac:dyDescent="0.35">
      <c r="A79" s="29"/>
      <c r="B79" s="16" t="s">
        <v>138</v>
      </c>
      <c r="C79" s="17">
        <v>4</v>
      </c>
      <c r="D79" s="4" t="s">
        <v>31</v>
      </c>
      <c r="E79" s="4" t="s">
        <v>143</v>
      </c>
      <c r="F79" s="3" t="s">
        <v>124</v>
      </c>
      <c r="G79" s="4" t="str">
        <f t="shared" si="1"/>
        <v>Yes</v>
      </c>
    </row>
    <row r="80" spans="1:7" ht="15" thickBot="1" x14ac:dyDescent="0.35">
      <c r="A80" s="29"/>
      <c r="B80" s="16" t="s">
        <v>139</v>
      </c>
      <c r="C80" s="17">
        <v>5</v>
      </c>
      <c r="D80" s="4" t="s">
        <v>31</v>
      </c>
      <c r="E80" s="4" t="s">
        <v>143</v>
      </c>
      <c r="F80" s="3" t="s">
        <v>124</v>
      </c>
      <c r="G80" s="4" t="str">
        <f t="shared" si="1"/>
        <v>Yes</v>
      </c>
    </row>
    <row r="81" spans="1:7" ht="69.599999999999994" thickBot="1" x14ac:dyDescent="0.35">
      <c r="A81" s="29"/>
      <c r="B81" s="3" t="str">
        <f>'[1]DPP Categories'!B93</f>
        <v>Material Comfort</v>
      </c>
      <c r="C81" s="5" t="s">
        <v>129</v>
      </c>
      <c r="D81" s="4" t="s">
        <v>21</v>
      </c>
      <c r="E81" s="5" t="s">
        <v>181</v>
      </c>
      <c r="F81" s="5" t="s">
        <v>182</v>
      </c>
      <c r="G81" s="4" t="str">
        <f t="shared" si="1"/>
        <v>Yes</v>
      </c>
    </row>
    <row r="82" spans="1:7" ht="42" thickBot="1" x14ac:dyDescent="0.35">
      <c r="A82" s="29"/>
      <c r="B82" s="3" t="str">
        <f>+'[2]1 DPP Data'!B82</f>
        <v>Climate Suitability</v>
      </c>
      <c r="C82" s="17">
        <v>2</v>
      </c>
      <c r="D82" s="4" t="s">
        <v>31</v>
      </c>
      <c r="E82" s="18" t="s">
        <v>143</v>
      </c>
      <c r="F82" s="3" t="s">
        <v>183</v>
      </c>
      <c r="G82" s="4" t="str">
        <f t="shared" si="1"/>
        <v>Yes</v>
      </c>
    </row>
    <row r="83" spans="1:7" ht="40.799999999999997" customHeight="1" thickBot="1" x14ac:dyDescent="0.35">
      <c r="A83" s="30"/>
      <c r="B83" s="3" t="str">
        <f>+'[2]1 DPP Data'!B83</f>
        <v>Agriculatural Value</v>
      </c>
      <c r="C83" s="17">
        <v>4</v>
      </c>
      <c r="D83" s="4" t="s">
        <v>31</v>
      </c>
      <c r="E83" s="18" t="s">
        <v>143</v>
      </c>
      <c r="F83" s="3" t="s">
        <v>183</v>
      </c>
      <c r="G83" s="4" t="str">
        <f t="shared" si="1"/>
        <v>Yes</v>
      </c>
    </row>
    <row r="84" spans="1:7" ht="32.4" customHeight="1" thickBot="1" x14ac:dyDescent="0.35">
      <c r="A84" s="28" t="s">
        <v>10</v>
      </c>
      <c r="B84" s="3" t="str">
        <f>'[1]DPP Categories'!B95</f>
        <v>Material unit cost</v>
      </c>
      <c r="C84" s="5">
        <v>3.8</v>
      </c>
      <c r="D84" s="3" t="s">
        <v>43</v>
      </c>
      <c r="E84" s="4" t="s">
        <v>64</v>
      </c>
      <c r="F84" s="3" t="s">
        <v>83</v>
      </c>
      <c r="G84" s="4" t="str">
        <f t="shared" si="1"/>
        <v>Yes</v>
      </c>
    </row>
    <row r="85" spans="1:7" ht="28.2" thickBot="1" x14ac:dyDescent="0.35">
      <c r="A85" s="29"/>
      <c r="B85" s="3" t="str">
        <f>'[1]DPP Categories'!B98</f>
        <v>Economic circularity benefit</v>
      </c>
      <c r="C85" s="10">
        <f>+C84*0.1052</f>
        <v>0.39976</v>
      </c>
      <c r="D85" s="3" t="s">
        <v>43</v>
      </c>
      <c r="E85" s="4" t="s">
        <v>202</v>
      </c>
      <c r="F85" s="3" t="s">
        <v>204</v>
      </c>
      <c r="G85" s="4" t="str">
        <f t="shared" si="1"/>
        <v>Yes</v>
      </c>
    </row>
    <row r="86" spans="1:7" ht="28.2" thickBot="1" x14ac:dyDescent="0.35">
      <c r="A86" s="30"/>
      <c r="B86" s="3" t="str">
        <f>'[1]DPP Categories'!B99</f>
        <v>Replacement cost</v>
      </c>
      <c r="C86" s="10">
        <f>+C84-C85</f>
        <v>3.4002399999999997</v>
      </c>
      <c r="D86" s="3" t="s">
        <v>43</v>
      </c>
      <c r="E86" s="4" t="s">
        <v>203</v>
      </c>
      <c r="F86" s="3" t="s">
        <v>225</v>
      </c>
      <c r="G86" s="4" t="str">
        <f t="shared" si="1"/>
        <v>Yes</v>
      </c>
    </row>
    <row r="89" spans="1:7" x14ac:dyDescent="0.3">
      <c r="C89" s="27"/>
    </row>
    <row r="102" ht="14.4" customHeight="1" x14ac:dyDescent="0.3"/>
  </sheetData>
  <mergeCells count="8">
    <mergeCell ref="A71:A83"/>
    <mergeCell ref="A84:A86"/>
    <mergeCell ref="A2:A9"/>
    <mergeCell ref="A10:A25"/>
    <mergeCell ref="A26:A36"/>
    <mergeCell ref="A37:A49"/>
    <mergeCell ref="A50:A53"/>
    <mergeCell ref="A54:A70"/>
  </mergeCells>
  <conditionalFormatting sqref="G2:G86">
    <cfRule type="containsText" dxfId="1" priority="1" operator="containsText" text="No">
      <formula>NOT(ISERROR(SEARCH("No",G2)))</formula>
    </cfRule>
    <cfRule type="containsText" dxfId="0" priority="2" operator="containsText" text="Yes">
      <formula>NOT(ISERROR(SEARCH("Yes",G2)))</formula>
    </cfRule>
  </conditionalFormatting>
  <hyperlinks>
    <hyperlink ref="C38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 Data Material DPP</vt:lpstr>
      <vt:lpstr>Gap Analysis</vt:lpstr>
      <vt:lpstr>2 Data DPP 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Catalina</dc:creator>
  <cp:lastModifiedBy>Catalina</cp:lastModifiedBy>
  <dcterms:created xsi:type="dcterms:W3CDTF">2025-11-05T16:25:45Z</dcterms:created>
  <dcterms:modified xsi:type="dcterms:W3CDTF">2025-12-02T11:32:34Z</dcterms:modified>
</cp:coreProperties>
</file>